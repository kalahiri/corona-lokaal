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20" windowWidth="18180" windowHeight="7840"/>
  </bookViews>
  <sheets>
    <sheet name="Leeftijdsopbouw Nederland 2021 " sheetId="1" r:id="rId1"/>
  </sheets>
  <calcPr calcId="125725"/>
</workbook>
</file>

<file path=xl/calcChain.xml><?xml version="1.0" encoding="utf-8"?>
<calcChain xmlns="http://schemas.openxmlformats.org/spreadsheetml/2006/main">
  <c r="J51" i="1"/>
  <c r="J52"/>
  <c r="L52" s="1"/>
  <c r="J53"/>
  <c r="J54"/>
  <c r="J55"/>
  <c r="J56"/>
  <c r="J57"/>
  <c r="J58"/>
  <c r="L58" s="1"/>
  <c r="J59"/>
  <c r="J60"/>
  <c r="J61"/>
  <c r="J62"/>
  <c r="J63"/>
  <c r="J64"/>
  <c r="L64" s="1"/>
  <c r="J65"/>
  <c r="J66"/>
  <c r="J67"/>
  <c r="J68"/>
  <c r="J69"/>
  <c r="J70"/>
  <c r="L70" s="1"/>
  <c r="J71"/>
  <c r="J72"/>
  <c r="J73"/>
  <c r="J74"/>
  <c r="J75"/>
  <c r="J76"/>
  <c r="L76" s="1"/>
  <c r="J77"/>
  <c r="J78"/>
  <c r="J79"/>
  <c r="J80"/>
  <c r="J81"/>
  <c r="J82"/>
  <c r="L82" s="1"/>
  <c r="J83"/>
  <c r="J84"/>
  <c r="J85"/>
  <c r="J86"/>
  <c r="J87"/>
  <c r="J88"/>
  <c r="L88" s="1"/>
  <c r="J89"/>
  <c r="J90"/>
  <c r="J91"/>
  <c r="L51"/>
  <c r="L53"/>
  <c r="L54"/>
  <c r="L55"/>
  <c r="L56"/>
  <c r="L57"/>
  <c r="L59"/>
  <c r="L60"/>
  <c r="L61"/>
  <c r="L62"/>
  <c r="L63"/>
  <c r="L65"/>
  <c r="L66"/>
  <c r="L67"/>
  <c r="L68"/>
  <c r="L69"/>
  <c r="L71"/>
  <c r="L72"/>
  <c r="L73"/>
  <c r="L74"/>
  <c r="L75"/>
  <c r="L77"/>
  <c r="L78"/>
  <c r="L79"/>
  <c r="L80"/>
  <c r="L81"/>
  <c r="L83"/>
  <c r="L84"/>
  <c r="L85"/>
  <c r="L86"/>
  <c r="L87"/>
  <c r="L89"/>
  <c r="L90"/>
  <c r="L91"/>
  <c r="L50"/>
  <c r="J48"/>
  <c r="J49"/>
  <c r="J50"/>
  <c r="J4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57"/>
  <c r="K51"/>
  <c r="K52"/>
  <c r="K53"/>
  <c r="K54"/>
  <c r="K55"/>
  <c r="K56"/>
  <c r="K50"/>
  <c r="R48"/>
  <c r="W40"/>
  <c r="U40"/>
  <c r="G7"/>
  <c r="G37"/>
  <c r="G61"/>
  <c r="G73"/>
  <c r="G109"/>
  <c r="E5"/>
  <c r="G5" s="1"/>
  <c r="E6"/>
  <c r="G6" s="1"/>
  <c r="E7"/>
  <c r="E8"/>
  <c r="G8" s="1"/>
  <c r="E9"/>
  <c r="G9" s="1"/>
  <c r="E10"/>
  <c r="G10" s="1"/>
  <c r="E11"/>
  <c r="G11" s="1"/>
  <c r="E12"/>
  <c r="G12" s="1"/>
  <c r="E13"/>
  <c r="G13" s="1"/>
  <c r="E14"/>
  <c r="G14" s="1"/>
  <c r="E15"/>
  <c r="G15" s="1"/>
  <c r="E16"/>
  <c r="G16" s="1"/>
  <c r="E17"/>
  <c r="G17" s="1"/>
  <c r="E18"/>
  <c r="G18" s="1"/>
  <c r="E19"/>
  <c r="G19" s="1"/>
  <c r="E20"/>
  <c r="G20" s="1"/>
  <c r="E21"/>
  <c r="G21" s="1"/>
  <c r="E22"/>
  <c r="G22" s="1"/>
  <c r="E23"/>
  <c r="G23" s="1"/>
  <c r="E24"/>
  <c r="G24" s="1"/>
  <c r="E25"/>
  <c r="G25" s="1"/>
  <c r="E26"/>
  <c r="G26" s="1"/>
  <c r="E27"/>
  <c r="G27" s="1"/>
  <c r="E28"/>
  <c r="G28" s="1"/>
  <c r="E29"/>
  <c r="G29" s="1"/>
  <c r="E30"/>
  <c r="G30" s="1"/>
  <c r="E31"/>
  <c r="G31" s="1"/>
  <c r="E32"/>
  <c r="G32" s="1"/>
  <c r="E33"/>
  <c r="G33" s="1"/>
  <c r="E34"/>
  <c r="G34" s="1"/>
  <c r="E35"/>
  <c r="G35" s="1"/>
  <c r="E36"/>
  <c r="G36" s="1"/>
  <c r="E37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E47"/>
  <c r="G47" s="1"/>
  <c r="E48"/>
  <c r="G48" s="1"/>
  <c r="E49"/>
  <c r="G49" s="1"/>
  <c r="E50"/>
  <c r="G50" s="1"/>
  <c r="E51"/>
  <c r="G51" s="1"/>
  <c r="E52"/>
  <c r="G52" s="1"/>
  <c r="E53"/>
  <c r="G53" s="1"/>
  <c r="E54"/>
  <c r="G54" s="1"/>
  <c r="E55"/>
  <c r="G55" s="1"/>
  <c r="E56"/>
  <c r="G56" s="1"/>
  <c r="E57"/>
  <c r="G57" s="1"/>
  <c r="E58"/>
  <c r="G58" s="1"/>
  <c r="E59"/>
  <c r="G59" s="1"/>
  <c r="E60"/>
  <c r="G60" s="1"/>
  <c r="E61"/>
  <c r="E62"/>
  <c r="G62" s="1"/>
  <c r="E63"/>
  <c r="G63" s="1"/>
  <c r="E64"/>
  <c r="G64" s="1"/>
  <c r="E65"/>
  <c r="G65" s="1"/>
  <c r="E66"/>
  <c r="G66" s="1"/>
  <c r="E67"/>
  <c r="G67" s="1"/>
  <c r="E68"/>
  <c r="G68" s="1"/>
  <c r="E69"/>
  <c r="G69" s="1"/>
  <c r="E70"/>
  <c r="G70" s="1"/>
  <c r="E71"/>
  <c r="G71" s="1"/>
  <c r="E72"/>
  <c r="G72" s="1"/>
  <c r="E7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85"/>
  <c r="G85" s="1"/>
  <c r="E86"/>
  <c r="G86" s="1"/>
  <c r="E87"/>
  <c r="G87" s="1"/>
  <c r="E88"/>
  <c r="G88" s="1"/>
  <c r="E89"/>
  <c r="G89" s="1"/>
  <c r="E90"/>
  <c r="G90" s="1"/>
  <c r="E91"/>
  <c r="G91" s="1"/>
  <c r="E92"/>
  <c r="G92" s="1"/>
  <c r="E93"/>
  <c r="G93" s="1"/>
  <c r="E94"/>
  <c r="G94" s="1"/>
  <c r="E95"/>
  <c r="G95" s="1"/>
  <c r="E96"/>
  <c r="G96" s="1"/>
  <c r="E97"/>
  <c r="G97" s="1"/>
  <c r="E98"/>
  <c r="G98" s="1"/>
  <c r="E99"/>
  <c r="G99" s="1"/>
  <c r="E100"/>
  <c r="G100" s="1"/>
  <c r="E101"/>
  <c r="G101" s="1"/>
  <c r="E102"/>
  <c r="G102" s="1"/>
  <c r="E103"/>
  <c r="G103" s="1"/>
  <c r="E104"/>
  <c r="G104" s="1"/>
  <c r="E105"/>
  <c r="G105" s="1"/>
  <c r="E106"/>
  <c r="G106" s="1"/>
  <c r="E107"/>
  <c r="G107" s="1"/>
  <c r="E108"/>
  <c r="G108" s="1"/>
  <c r="E109"/>
  <c r="E4"/>
  <c r="G4" l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l="1"/>
  <c r="H21" s="1"/>
  <c r="H22" s="1"/>
  <c r="H23" s="1"/>
  <c r="H24" s="1"/>
  <c r="L19"/>
  <c r="H25" l="1"/>
  <c r="H26" s="1"/>
  <c r="H27" s="1"/>
  <c r="H28" s="1"/>
  <c r="H29" s="1"/>
  <c r="L24"/>
  <c r="H30" l="1"/>
  <c r="H31" s="1"/>
  <c r="H32" s="1"/>
  <c r="H33" s="1"/>
  <c r="H34" s="1"/>
  <c r="L29"/>
  <c r="H35" l="1"/>
  <c r="H36" s="1"/>
  <c r="H37" s="1"/>
  <c r="H38" s="1"/>
  <c r="H39" s="1"/>
  <c r="L34"/>
  <c r="H40" l="1"/>
  <c r="H41" s="1"/>
  <c r="H42" s="1"/>
  <c r="H43" s="1"/>
  <c r="H44" s="1"/>
  <c r="H45" s="1"/>
  <c r="H46" s="1"/>
  <c r="H47" s="1"/>
  <c r="L39"/>
  <c r="H48" l="1"/>
  <c r="I47"/>
  <c r="H49" l="1"/>
  <c r="I48"/>
  <c r="H50" l="1"/>
  <c r="I49"/>
  <c r="H51" l="1"/>
  <c r="I50"/>
  <c r="P50" s="1"/>
  <c r="H52" l="1"/>
  <c r="I51"/>
  <c r="P51" s="1"/>
  <c r="H53" l="1"/>
  <c r="I52"/>
  <c r="P52" s="1"/>
  <c r="H54" l="1"/>
  <c r="I53"/>
  <c r="P53" s="1"/>
  <c r="H55" l="1"/>
  <c r="I54"/>
  <c r="P54" s="1"/>
  <c r="H56" l="1"/>
  <c r="I55"/>
  <c r="P55" s="1"/>
  <c r="H57" l="1"/>
  <c r="I56"/>
  <c r="P56" s="1"/>
  <c r="H58" l="1"/>
  <c r="I57"/>
  <c r="P57" s="1"/>
  <c r="H59" l="1"/>
  <c r="I58"/>
  <c r="P58" s="1"/>
  <c r="H60" l="1"/>
  <c r="I59"/>
  <c r="P59" s="1"/>
  <c r="H61" l="1"/>
  <c r="I60"/>
  <c r="P60" s="1"/>
  <c r="H62" l="1"/>
  <c r="I61"/>
  <c r="P61" s="1"/>
  <c r="H63" l="1"/>
  <c r="I62"/>
  <c r="P62" s="1"/>
  <c r="H64" l="1"/>
  <c r="I63"/>
  <c r="P63" s="1"/>
  <c r="H65" l="1"/>
  <c r="I64"/>
  <c r="P64" s="1"/>
  <c r="H66" l="1"/>
  <c r="I65"/>
  <c r="P65" s="1"/>
  <c r="H67" l="1"/>
  <c r="I66"/>
  <c r="P66" s="1"/>
  <c r="H68" l="1"/>
  <c r="I67"/>
  <c r="P67" s="1"/>
  <c r="H69" l="1"/>
  <c r="I68"/>
  <c r="P68" s="1"/>
  <c r="H70" l="1"/>
  <c r="I69"/>
  <c r="P69" s="1"/>
  <c r="H71" l="1"/>
  <c r="I70"/>
  <c r="P70" s="1"/>
  <c r="H72" l="1"/>
  <c r="I71"/>
  <c r="P71" s="1"/>
  <c r="H73" l="1"/>
  <c r="I72"/>
  <c r="P72" s="1"/>
  <c r="H74" l="1"/>
  <c r="I73"/>
  <c r="P73" s="1"/>
  <c r="H75" l="1"/>
  <c r="I74"/>
  <c r="P74" s="1"/>
  <c r="H76" l="1"/>
  <c r="I75"/>
  <c r="P75" s="1"/>
  <c r="H77" l="1"/>
  <c r="I76"/>
  <c r="P76" s="1"/>
  <c r="H78" l="1"/>
  <c r="I77"/>
  <c r="P77" s="1"/>
  <c r="H79" l="1"/>
  <c r="I78"/>
  <c r="P78" s="1"/>
  <c r="H80" l="1"/>
  <c r="I79"/>
  <c r="P79" s="1"/>
  <c r="H81" l="1"/>
  <c r="I80"/>
  <c r="P80" s="1"/>
  <c r="H82" l="1"/>
  <c r="I81"/>
  <c r="P81" s="1"/>
  <c r="H83" l="1"/>
  <c r="I82"/>
  <c r="P82" s="1"/>
  <c r="H84" l="1"/>
  <c r="I83"/>
  <c r="P83" s="1"/>
  <c r="H85" l="1"/>
  <c r="I84"/>
  <c r="P84" s="1"/>
  <c r="H86" l="1"/>
  <c r="I85"/>
  <c r="P85" s="1"/>
  <c r="H87" l="1"/>
  <c r="I86"/>
  <c r="P86" s="1"/>
  <c r="H88" l="1"/>
  <c r="I87"/>
  <c r="P87" s="1"/>
  <c r="H89" l="1"/>
  <c r="I88"/>
  <c r="P88" s="1"/>
  <c r="H90" l="1"/>
  <c r="I89"/>
  <c r="P89" s="1"/>
  <c r="H91" l="1"/>
  <c r="I90"/>
  <c r="P90" s="1"/>
  <c r="H92" l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I91"/>
  <c r="P91" s="1"/>
</calcChain>
</file>

<file path=xl/sharedStrings.xml><?xml version="1.0" encoding="utf-8"?>
<sst xmlns="http://schemas.openxmlformats.org/spreadsheetml/2006/main" count="342" uniqueCount="140">
  <si>
    <t>Leeftijd</t>
  </si>
  <si>
    <t>Mannen</t>
  </si>
  <si>
    <t>Vrouwen</t>
  </si>
  <si>
    <t>105 jaarofouder</t>
  </si>
  <si>
    <t>104 jaar</t>
  </si>
  <si>
    <t>103 jaar</t>
  </si>
  <si>
    <t>102 jaar</t>
  </si>
  <si>
    <t>101 jaar</t>
  </si>
  <si>
    <t>100 jaar</t>
  </si>
  <si>
    <t>99 jaar</t>
  </si>
  <si>
    <t>98 jaar</t>
  </si>
  <si>
    <t>97 jaar</t>
  </si>
  <si>
    <t>96 jaar</t>
  </si>
  <si>
    <t>95 jaar</t>
  </si>
  <si>
    <t>94 jaar</t>
  </si>
  <si>
    <t>93 jaar</t>
  </si>
  <si>
    <t>92 jaar</t>
  </si>
  <si>
    <t>91 jaar</t>
  </si>
  <si>
    <t>90 jaar</t>
  </si>
  <si>
    <t>89 jaar</t>
  </si>
  <si>
    <t>88 jaar</t>
  </si>
  <si>
    <t>87 jaar</t>
  </si>
  <si>
    <t>86 jaar</t>
  </si>
  <si>
    <t>85 jaar</t>
  </si>
  <si>
    <t>84 jaar</t>
  </si>
  <si>
    <t>83 jaar</t>
  </si>
  <si>
    <t>82 jaar</t>
  </si>
  <si>
    <t>81 jaar</t>
  </si>
  <si>
    <t>80 jaar</t>
  </si>
  <si>
    <t>79 jaar</t>
  </si>
  <si>
    <t>78 jaar</t>
  </si>
  <si>
    <t>77 jaar</t>
  </si>
  <si>
    <t>76 jaar</t>
  </si>
  <si>
    <t>75 jaar</t>
  </si>
  <si>
    <t>74 jaar</t>
  </si>
  <si>
    <t>73 jaar</t>
  </si>
  <si>
    <t>72 jaar</t>
  </si>
  <si>
    <t>71 jaar</t>
  </si>
  <si>
    <t>70 jaar</t>
  </si>
  <si>
    <t>69 jaar</t>
  </si>
  <si>
    <t>68 jaar</t>
  </si>
  <si>
    <t>67 jaar</t>
  </si>
  <si>
    <t>66 jaar</t>
  </si>
  <si>
    <t>65 jaar</t>
  </si>
  <si>
    <t>64 jaar</t>
  </si>
  <si>
    <t>63 jaar</t>
  </si>
  <si>
    <t>62 jaar</t>
  </si>
  <si>
    <t>61 jaar</t>
  </si>
  <si>
    <t>60 jaar</t>
  </si>
  <si>
    <t>59 jaar</t>
  </si>
  <si>
    <t>58 jaar</t>
  </si>
  <si>
    <t>57 jaar</t>
  </si>
  <si>
    <t>56 jaar</t>
  </si>
  <si>
    <t>55 jaar</t>
  </si>
  <si>
    <t>54 jaar</t>
  </si>
  <si>
    <t>53 jaar</t>
  </si>
  <si>
    <t>52 jaar</t>
  </si>
  <si>
    <t>51 jaar</t>
  </si>
  <si>
    <t>50 jaar</t>
  </si>
  <si>
    <t>49 jaar</t>
  </si>
  <si>
    <t>48 jaar</t>
  </si>
  <si>
    <t>47 jaar</t>
  </si>
  <si>
    <t>46 jaar</t>
  </si>
  <si>
    <t>45 jaar</t>
  </si>
  <si>
    <t>44 jaar</t>
  </si>
  <si>
    <t>43 jaar</t>
  </si>
  <si>
    <t>42 jaar</t>
  </si>
  <si>
    <t>41 jaar</t>
  </si>
  <si>
    <t>40 jaar</t>
  </si>
  <si>
    <t>39 jaar</t>
  </si>
  <si>
    <t>38 jaar</t>
  </si>
  <si>
    <t>37 jaar</t>
  </si>
  <si>
    <t>36 jaar</t>
  </si>
  <si>
    <t>35 jaar</t>
  </si>
  <si>
    <t>34 jaar</t>
  </si>
  <si>
    <t>33 jaar</t>
  </si>
  <si>
    <t>32 jaar</t>
  </si>
  <si>
    <t>31 jaar</t>
  </si>
  <si>
    <t>30 jaar</t>
  </si>
  <si>
    <t>29 jaar</t>
  </si>
  <si>
    <t>28 jaar</t>
  </si>
  <si>
    <t>27 jaar</t>
  </si>
  <si>
    <t>26 jaar</t>
  </si>
  <si>
    <t>25 jaar</t>
  </si>
  <si>
    <t>24 jaar</t>
  </si>
  <si>
    <t>23 jaar</t>
  </si>
  <si>
    <t>22 jaar</t>
  </si>
  <si>
    <t>21 jaar</t>
  </si>
  <si>
    <t>20 jaar</t>
  </si>
  <si>
    <t>19 jaar</t>
  </si>
  <si>
    <t>18 jaar</t>
  </si>
  <si>
    <t>17 jaar</t>
  </si>
  <si>
    <t>16 jaar</t>
  </si>
  <si>
    <t>15 jaar</t>
  </si>
  <si>
    <t>14 jaar</t>
  </si>
  <si>
    <t>13 jaar</t>
  </si>
  <si>
    <t>12 jaar</t>
  </si>
  <si>
    <t>11 jaar</t>
  </si>
  <si>
    <t>10 jaar</t>
  </si>
  <si>
    <t>9 jaar</t>
  </si>
  <si>
    <t>8 jaar</t>
  </si>
  <si>
    <t>7 jaar</t>
  </si>
  <si>
    <t>6 jaar</t>
  </si>
  <si>
    <t>5 jaar</t>
  </si>
  <si>
    <t>4 jaar</t>
  </si>
  <si>
    <t>3 jaar</t>
  </si>
  <si>
    <t>2 jaar</t>
  </si>
  <si>
    <t>1 jaar</t>
  </si>
  <si>
    <t>0 jaar</t>
  </si>
  <si>
    <t>Totaal</t>
  </si>
  <si>
    <t>vaccinatiegraad</t>
  </si>
  <si>
    <t>netto vaccin-kandidaten</t>
  </si>
  <si>
    <t>Links:</t>
  </si>
  <si>
    <t>Bevolkingsopbouw</t>
  </si>
  <si>
    <t>https://www.cbs.nl/nl-nl/visualisaties/dashboard-bevolking/bevolkingspiramide</t>
  </si>
  <si>
    <t>Vaccinatiebereidheid:</t>
  </si>
  <si>
    <t>Vaccinatieplanning:</t>
  </si>
  <si>
    <t>https://www.rijksoverheid.nl/onderwerpen/coronavirus-vaccinatie/volgorde-van-vaccinatie-tegen-het-coronavirus/volgorde-vaccinatie-voor-mensen-die-niet-in-de-zorg-werken</t>
  </si>
  <si>
    <t>https://www.rijksoverheid.nl/documenten/kaarten/2021/03/23/factsheet-vaccinatieplanning</t>
  </si>
  <si>
    <t>Vaccinatieplanning 2:</t>
  </si>
  <si>
    <t>tenminste één prik</t>
  </si>
  <si>
    <t>stand 4 april</t>
  </si>
  <si>
    <t>cumulatief vaccin-kandidaten</t>
  </si>
  <si>
    <t>cumulatief per leeftijdsgroep</t>
  </si>
  <si>
    <t>80-84</t>
  </si>
  <si>
    <t>85-90</t>
  </si>
  <si>
    <t>90 plus</t>
  </si>
  <si>
    <t>75-79</t>
  </si>
  <si>
    <t>70-74</t>
  </si>
  <si>
    <t>&lt;&lt;&lt;&lt;</t>
  </si>
  <si>
    <t>tempo</t>
  </si>
  <si>
    <t>nu bezig</t>
  </si>
  <si>
    <t>over</t>
  </si>
  <si>
    <t>weken</t>
  </si>
  <si>
    <t>Ruwe inschatting vaccinatieplanning</t>
  </si>
  <si>
    <t>per dag</t>
  </si>
  <si>
    <t>1e prik</t>
  </si>
  <si>
    <t>minus</t>
  </si>
  <si>
    <t>voorkruipers</t>
  </si>
  <si>
    <t>prikken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</si>
</sst>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164" fontId="0" fillId="0" borderId="0" xfId="0" quotePrefix="1" applyNumberFormat="1"/>
    <xf numFmtId="0" fontId="18" fillId="0" borderId="0" xfId="43" applyAlignment="1" applyProtection="1"/>
    <xf numFmtId="165" fontId="0" fillId="0" borderId="0" xfId="1" applyNumberFormat="1" applyFont="1"/>
    <xf numFmtId="0" fontId="19" fillId="0" borderId="0" xfId="0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ijksoverheid.nl/documenten/kaarten/2021/03/23/factsheet-vaccinatieplanning" TargetMode="External"/><Relationship Id="rId1" Type="http://schemas.openxmlformats.org/officeDocument/2006/relationships/hyperlink" Target="https://www.rijksoverheid.nl/onderwerpen/coronavirus-vaccinatie/volgorde-van-vaccinatie-tegen-het-coronavirus/volgorde-vaccinatie-voor-mensen-die-niet-in-de-zorg-wer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6"/>
  <sheetViews>
    <sheetView tabSelected="1" workbookViewId="0">
      <pane xSplit="1" ySplit="2" topLeftCell="G36" activePane="bottomRight" state="frozen"/>
      <selection pane="topRight" activeCell="B1" sqref="B1"/>
      <selection pane="bottomLeft" activeCell="A3" sqref="A3"/>
      <selection pane="bottomRight" activeCell="I44" sqref="I44"/>
    </sheetView>
  </sheetViews>
  <sheetFormatPr defaultRowHeight="14.5"/>
  <cols>
    <col min="5" max="5" width="13.1796875" style="1" bestFit="1" customWidth="1"/>
    <col min="6" max="6" width="13.81640625" bestFit="1" customWidth="1"/>
    <col min="7" max="7" width="21.08984375" bestFit="1" customWidth="1"/>
    <col min="8" max="8" width="25.54296875" bestFit="1" customWidth="1"/>
    <col min="9" max="9" width="10" bestFit="1" customWidth="1"/>
    <col min="10" max="10" width="12.7265625" style="1" bestFit="1" customWidth="1"/>
    <col min="12" max="13" width="6.90625" customWidth="1"/>
    <col min="15" max="15" width="5.26953125" customWidth="1"/>
    <col min="16" max="16" width="6.54296875" style="6" customWidth="1"/>
    <col min="17" max="17" width="13.54296875" style="6" customWidth="1"/>
  </cols>
  <sheetData>
    <row r="1" spans="1:16">
      <c r="A1" t="s">
        <v>0</v>
      </c>
      <c r="B1" t="s">
        <v>1</v>
      </c>
      <c r="C1" t="s">
        <v>2</v>
      </c>
      <c r="E1" s="1" t="s">
        <v>109</v>
      </c>
      <c r="F1" t="s">
        <v>110</v>
      </c>
      <c r="G1" t="s">
        <v>111</v>
      </c>
      <c r="H1" t="s">
        <v>122</v>
      </c>
      <c r="L1" t="s">
        <v>123</v>
      </c>
      <c r="N1" t="s">
        <v>0</v>
      </c>
      <c r="P1" s="6" t="s">
        <v>120</v>
      </c>
    </row>
    <row r="2" spans="1:16">
      <c r="P2" s="6" t="s">
        <v>121</v>
      </c>
    </row>
    <row r="4" spans="1:16">
      <c r="A4" t="s">
        <v>3</v>
      </c>
      <c r="B4">
        <v>0</v>
      </c>
      <c r="C4">
        <v>0</v>
      </c>
      <c r="E4" s="1">
        <f>C4+B4</f>
        <v>0</v>
      </c>
      <c r="F4" s="3">
        <v>0.92</v>
      </c>
      <c r="G4" s="2">
        <f>F4*E4</f>
        <v>0</v>
      </c>
      <c r="H4" s="2">
        <f>G4</f>
        <v>0</v>
      </c>
      <c r="I4" s="2"/>
      <c r="L4" s="2"/>
      <c r="M4" s="2"/>
      <c r="N4" t="s">
        <v>3</v>
      </c>
      <c r="O4" s="2"/>
    </row>
    <row r="5" spans="1:16">
      <c r="A5" t="s">
        <v>4</v>
      </c>
      <c r="B5">
        <v>0</v>
      </c>
      <c r="C5">
        <v>0</v>
      </c>
      <c r="E5" s="1">
        <f t="shared" ref="E5:E68" si="0">C5+B5</f>
        <v>0</v>
      </c>
      <c r="F5" s="3">
        <v>0.92</v>
      </c>
      <c r="G5" s="2">
        <f t="shared" ref="G5:G68" si="1">F5*E5</f>
        <v>0</v>
      </c>
      <c r="H5" s="2">
        <f>H4+G5</f>
        <v>0</v>
      </c>
      <c r="I5" s="2"/>
      <c r="L5" s="2"/>
      <c r="M5" s="2"/>
      <c r="N5" t="s">
        <v>4</v>
      </c>
      <c r="O5" s="2"/>
    </row>
    <row r="6" spans="1:16">
      <c r="A6" t="s">
        <v>5</v>
      </c>
      <c r="B6">
        <v>0</v>
      </c>
      <c r="C6">
        <v>0</v>
      </c>
      <c r="E6" s="1">
        <f t="shared" si="0"/>
        <v>0</v>
      </c>
      <c r="F6" s="3">
        <v>0.92</v>
      </c>
      <c r="G6" s="2">
        <f t="shared" si="1"/>
        <v>0</v>
      </c>
      <c r="H6" s="2">
        <f t="shared" ref="H6:H69" si="2">H5+G6</f>
        <v>0</v>
      </c>
      <c r="I6" s="2"/>
      <c r="L6" s="2"/>
      <c r="M6" s="2"/>
      <c r="N6" t="s">
        <v>5</v>
      </c>
      <c r="O6" s="2"/>
    </row>
    <row r="7" spans="1:16">
      <c r="A7" t="s">
        <v>6</v>
      </c>
      <c r="B7">
        <v>0</v>
      </c>
      <c r="C7">
        <v>0</v>
      </c>
      <c r="E7" s="1">
        <f t="shared" si="0"/>
        <v>0</v>
      </c>
      <c r="F7" s="3">
        <v>0.92</v>
      </c>
      <c r="G7" s="2">
        <f t="shared" si="1"/>
        <v>0</v>
      </c>
      <c r="H7" s="2">
        <f t="shared" si="2"/>
        <v>0</v>
      </c>
      <c r="I7" s="2"/>
      <c r="L7" s="2"/>
      <c r="M7" s="2"/>
      <c r="N7" t="s">
        <v>6</v>
      </c>
      <c r="O7" s="2"/>
    </row>
    <row r="8" spans="1:16">
      <c r="A8" t="s">
        <v>7</v>
      </c>
      <c r="B8">
        <v>0</v>
      </c>
      <c r="C8">
        <v>1000</v>
      </c>
      <c r="E8" s="1">
        <f t="shared" si="0"/>
        <v>1000</v>
      </c>
      <c r="F8" s="3">
        <v>0.92</v>
      </c>
      <c r="G8" s="2">
        <f t="shared" si="1"/>
        <v>920</v>
      </c>
      <c r="H8" s="2">
        <f t="shared" si="2"/>
        <v>920</v>
      </c>
      <c r="I8" s="2"/>
      <c r="L8" s="2"/>
      <c r="M8" s="2"/>
      <c r="N8" t="s">
        <v>7</v>
      </c>
      <c r="O8" s="2"/>
    </row>
    <row r="9" spans="1:16">
      <c r="A9" t="s">
        <v>8</v>
      </c>
      <c r="B9">
        <v>0</v>
      </c>
      <c r="C9">
        <v>1000</v>
      </c>
      <c r="E9" s="1">
        <f t="shared" si="0"/>
        <v>1000</v>
      </c>
      <c r="F9" s="3">
        <v>0.92</v>
      </c>
      <c r="G9" s="2">
        <f t="shared" si="1"/>
        <v>920</v>
      </c>
      <c r="H9" s="2">
        <f t="shared" si="2"/>
        <v>1840</v>
      </c>
      <c r="I9" s="2"/>
      <c r="L9" s="2"/>
      <c r="M9" s="2"/>
      <c r="N9" t="s">
        <v>8</v>
      </c>
      <c r="O9" s="2"/>
    </row>
    <row r="10" spans="1:16">
      <c r="A10" t="s">
        <v>9</v>
      </c>
      <c r="B10">
        <v>0</v>
      </c>
      <c r="C10">
        <v>2000</v>
      </c>
      <c r="E10" s="1">
        <f t="shared" si="0"/>
        <v>2000</v>
      </c>
      <c r="F10" s="3">
        <v>0.92</v>
      </c>
      <c r="G10" s="2">
        <f t="shared" si="1"/>
        <v>1840</v>
      </c>
      <c r="H10" s="2">
        <f t="shared" si="2"/>
        <v>3680</v>
      </c>
      <c r="I10" s="2"/>
      <c r="L10" s="2"/>
      <c r="M10" s="2"/>
      <c r="N10" t="s">
        <v>9</v>
      </c>
      <c r="O10" s="2"/>
    </row>
    <row r="11" spans="1:16">
      <c r="A11" t="s">
        <v>10</v>
      </c>
      <c r="B11">
        <v>1000</v>
      </c>
      <c r="C11">
        <v>2000</v>
      </c>
      <c r="E11" s="1">
        <f t="shared" si="0"/>
        <v>3000</v>
      </c>
      <c r="F11" s="3">
        <v>0.92</v>
      </c>
      <c r="G11" s="2">
        <f t="shared" si="1"/>
        <v>2760</v>
      </c>
      <c r="H11" s="2">
        <f t="shared" si="2"/>
        <v>6440</v>
      </c>
      <c r="I11" s="2"/>
      <c r="L11" s="2"/>
      <c r="M11" s="2"/>
      <c r="N11" t="s">
        <v>10</v>
      </c>
      <c r="O11" s="2"/>
    </row>
    <row r="12" spans="1:16">
      <c r="A12" t="s">
        <v>11</v>
      </c>
      <c r="B12">
        <v>1000</v>
      </c>
      <c r="C12">
        <v>3000</v>
      </c>
      <c r="E12" s="1">
        <f t="shared" si="0"/>
        <v>4000</v>
      </c>
      <c r="F12" s="3">
        <v>0.92</v>
      </c>
      <c r="G12" s="2">
        <f t="shared" si="1"/>
        <v>3680</v>
      </c>
      <c r="H12" s="2">
        <f t="shared" si="2"/>
        <v>10120</v>
      </c>
      <c r="I12" s="2"/>
      <c r="L12" s="2"/>
      <c r="M12" s="2"/>
      <c r="N12" t="s">
        <v>11</v>
      </c>
      <c r="O12" s="2"/>
    </row>
    <row r="13" spans="1:16">
      <c r="A13" t="s">
        <v>12</v>
      </c>
      <c r="B13">
        <v>1000</v>
      </c>
      <c r="C13">
        <v>5000</v>
      </c>
      <c r="E13" s="1">
        <f t="shared" si="0"/>
        <v>6000</v>
      </c>
      <c r="F13" s="3">
        <v>0.92</v>
      </c>
      <c r="G13" s="2">
        <f t="shared" si="1"/>
        <v>5520</v>
      </c>
      <c r="H13" s="2">
        <f t="shared" si="2"/>
        <v>15640</v>
      </c>
      <c r="I13" s="2"/>
      <c r="L13" s="2"/>
      <c r="M13" s="2"/>
      <c r="N13" t="s">
        <v>12</v>
      </c>
      <c r="O13" s="2"/>
    </row>
    <row r="14" spans="1:16">
      <c r="A14" t="s">
        <v>13</v>
      </c>
      <c r="B14">
        <v>2000</v>
      </c>
      <c r="C14">
        <v>6000</v>
      </c>
      <c r="E14" s="1">
        <f t="shared" si="0"/>
        <v>8000</v>
      </c>
      <c r="F14" s="3">
        <v>0.92</v>
      </c>
      <c r="G14" s="2">
        <f t="shared" si="1"/>
        <v>7360</v>
      </c>
      <c r="H14" s="2">
        <f t="shared" si="2"/>
        <v>23000</v>
      </c>
      <c r="I14" s="2"/>
      <c r="L14" s="2"/>
      <c r="M14" s="2"/>
      <c r="N14" t="s">
        <v>13</v>
      </c>
      <c r="O14" s="2"/>
    </row>
    <row r="15" spans="1:16">
      <c r="A15" t="s">
        <v>14</v>
      </c>
      <c r="B15">
        <v>3000</v>
      </c>
      <c r="C15">
        <v>9000</v>
      </c>
      <c r="E15" s="1">
        <f t="shared" si="0"/>
        <v>12000</v>
      </c>
      <c r="F15" s="3">
        <v>0.92</v>
      </c>
      <c r="G15" s="2">
        <f t="shared" si="1"/>
        <v>11040</v>
      </c>
      <c r="H15" s="2">
        <f t="shared" si="2"/>
        <v>34040</v>
      </c>
      <c r="I15" s="2"/>
      <c r="L15" s="2"/>
      <c r="M15" s="2"/>
      <c r="N15" t="s">
        <v>14</v>
      </c>
      <c r="O15" s="2"/>
    </row>
    <row r="16" spans="1:16">
      <c r="A16" t="s">
        <v>15</v>
      </c>
      <c r="B16">
        <v>4000</v>
      </c>
      <c r="C16">
        <v>11000</v>
      </c>
      <c r="E16" s="1">
        <f t="shared" si="0"/>
        <v>15000</v>
      </c>
      <c r="F16" s="3">
        <v>0.92</v>
      </c>
      <c r="G16" s="2">
        <f t="shared" si="1"/>
        <v>13800</v>
      </c>
      <c r="H16" s="2">
        <f t="shared" si="2"/>
        <v>47840</v>
      </c>
      <c r="I16" s="2"/>
      <c r="L16" s="2"/>
      <c r="M16" s="2"/>
      <c r="N16" t="s">
        <v>15</v>
      </c>
      <c r="O16" s="2"/>
    </row>
    <row r="17" spans="1:16">
      <c r="A17" t="s">
        <v>16</v>
      </c>
      <c r="B17">
        <v>6000</v>
      </c>
      <c r="C17">
        <v>14000</v>
      </c>
      <c r="E17" s="1">
        <f t="shared" si="0"/>
        <v>20000</v>
      </c>
      <c r="F17" s="3">
        <v>0.92</v>
      </c>
      <c r="G17" s="2">
        <f t="shared" si="1"/>
        <v>18400</v>
      </c>
      <c r="H17" s="2">
        <f t="shared" si="2"/>
        <v>66240</v>
      </c>
      <c r="I17" s="2"/>
      <c r="L17" s="2"/>
      <c r="M17" s="2"/>
      <c r="N17" t="s">
        <v>16</v>
      </c>
      <c r="O17" s="2"/>
    </row>
    <row r="18" spans="1:16">
      <c r="A18" t="s">
        <v>17</v>
      </c>
      <c r="B18">
        <v>8000</v>
      </c>
      <c r="C18">
        <v>17000</v>
      </c>
      <c r="E18" s="1">
        <f t="shared" si="0"/>
        <v>25000</v>
      </c>
      <c r="F18" s="3">
        <v>0.92</v>
      </c>
      <c r="G18" s="2">
        <f t="shared" si="1"/>
        <v>23000</v>
      </c>
      <c r="H18" s="2">
        <f t="shared" si="2"/>
        <v>89240</v>
      </c>
      <c r="I18" s="2"/>
      <c r="L18" s="2"/>
      <c r="M18" s="2"/>
      <c r="N18" t="s">
        <v>17</v>
      </c>
      <c r="O18" s="2"/>
    </row>
    <row r="19" spans="1:16">
      <c r="A19" t="s">
        <v>18</v>
      </c>
      <c r="B19">
        <v>11000</v>
      </c>
      <c r="C19">
        <v>22000</v>
      </c>
      <c r="E19" s="1">
        <f t="shared" si="0"/>
        <v>33000</v>
      </c>
      <c r="F19" s="3">
        <v>0.92</v>
      </c>
      <c r="G19" s="2">
        <f t="shared" si="1"/>
        <v>30360</v>
      </c>
      <c r="H19" s="2">
        <f t="shared" si="2"/>
        <v>119600</v>
      </c>
      <c r="I19" s="4" t="s">
        <v>126</v>
      </c>
      <c r="L19" s="2">
        <f>H19</f>
        <v>119600</v>
      </c>
      <c r="M19" s="2"/>
      <c r="N19" t="s">
        <v>18</v>
      </c>
      <c r="O19" s="4"/>
      <c r="P19" s="6">
        <v>63731</v>
      </c>
    </row>
    <row r="20" spans="1:16">
      <c r="A20" t="s">
        <v>19</v>
      </c>
      <c r="B20">
        <v>13000</v>
      </c>
      <c r="C20">
        <v>25000</v>
      </c>
      <c r="E20" s="1">
        <f t="shared" si="0"/>
        <v>38000</v>
      </c>
      <c r="F20" s="3">
        <v>0.92</v>
      </c>
      <c r="G20" s="2">
        <f t="shared" si="1"/>
        <v>34960</v>
      </c>
      <c r="H20" s="2">
        <f t="shared" si="2"/>
        <v>154560</v>
      </c>
      <c r="I20" s="2"/>
      <c r="L20" s="2"/>
      <c r="M20" s="2"/>
      <c r="N20" t="s">
        <v>19</v>
      </c>
      <c r="O20" s="2"/>
    </row>
    <row r="21" spans="1:16">
      <c r="A21" t="s">
        <v>20</v>
      </c>
      <c r="B21">
        <v>16000</v>
      </c>
      <c r="C21">
        <v>29000</v>
      </c>
      <c r="E21" s="1">
        <f t="shared" si="0"/>
        <v>45000</v>
      </c>
      <c r="F21" s="3">
        <v>0.92</v>
      </c>
      <c r="G21" s="2">
        <f t="shared" si="1"/>
        <v>41400</v>
      </c>
      <c r="H21" s="2">
        <f t="shared" si="2"/>
        <v>195960</v>
      </c>
      <c r="I21" s="2"/>
      <c r="L21" s="2"/>
      <c r="M21" s="2"/>
      <c r="N21" t="s">
        <v>20</v>
      </c>
      <c r="O21" s="2"/>
    </row>
    <row r="22" spans="1:16">
      <c r="A22" t="s">
        <v>21</v>
      </c>
      <c r="B22">
        <v>19000</v>
      </c>
      <c r="C22">
        <v>32000</v>
      </c>
      <c r="E22" s="1">
        <f t="shared" si="0"/>
        <v>51000</v>
      </c>
      <c r="F22" s="3">
        <v>0.92</v>
      </c>
      <c r="G22" s="2">
        <f t="shared" si="1"/>
        <v>46920</v>
      </c>
      <c r="H22" s="2">
        <f t="shared" si="2"/>
        <v>242880</v>
      </c>
      <c r="I22" s="2"/>
      <c r="L22" s="2"/>
      <c r="M22" s="2"/>
      <c r="N22" t="s">
        <v>21</v>
      </c>
      <c r="O22" s="2"/>
    </row>
    <row r="23" spans="1:16">
      <c r="A23" t="s">
        <v>22</v>
      </c>
      <c r="B23">
        <v>23000</v>
      </c>
      <c r="C23">
        <v>36000</v>
      </c>
      <c r="E23" s="1">
        <f t="shared" si="0"/>
        <v>59000</v>
      </c>
      <c r="F23" s="3">
        <v>0.92</v>
      </c>
      <c r="G23" s="2">
        <f t="shared" si="1"/>
        <v>54280</v>
      </c>
      <c r="H23" s="2">
        <f t="shared" si="2"/>
        <v>297160</v>
      </c>
      <c r="I23" s="2"/>
      <c r="L23" s="2"/>
      <c r="M23" s="2"/>
      <c r="N23" t="s">
        <v>22</v>
      </c>
      <c r="O23" s="2"/>
    </row>
    <row r="24" spans="1:16">
      <c r="A24" t="s">
        <v>23</v>
      </c>
      <c r="B24">
        <v>27000</v>
      </c>
      <c r="C24">
        <v>39000</v>
      </c>
      <c r="E24" s="1">
        <f t="shared" si="0"/>
        <v>66000</v>
      </c>
      <c r="F24" s="3">
        <v>0.92</v>
      </c>
      <c r="G24" s="2">
        <f t="shared" si="1"/>
        <v>60720</v>
      </c>
      <c r="H24" s="2">
        <f t="shared" si="2"/>
        <v>357880</v>
      </c>
      <c r="I24" s="4" t="s">
        <v>125</v>
      </c>
      <c r="L24" s="2">
        <f>H24-H19</f>
        <v>238280</v>
      </c>
      <c r="M24" s="2"/>
      <c r="N24" t="s">
        <v>23</v>
      </c>
      <c r="O24" s="4"/>
      <c r="P24" s="6">
        <v>323651</v>
      </c>
    </row>
    <row r="25" spans="1:16">
      <c r="A25" t="s">
        <v>24</v>
      </c>
      <c r="B25">
        <v>30000</v>
      </c>
      <c r="C25">
        <v>43000</v>
      </c>
      <c r="E25" s="1">
        <f t="shared" si="0"/>
        <v>73000</v>
      </c>
      <c r="F25" s="3">
        <v>0.92</v>
      </c>
      <c r="G25" s="2">
        <f t="shared" si="1"/>
        <v>67160</v>
      </c>
      <c r="H25" s="2">
        <f t="shared" si="2"/>
        <v>425040</v>
      </c>
      <c r="I25" s="2"/>
      <c r="L25" s="2"/>
      <c r="M25" s="2"/>
      <c r="N25" t="s">
        <v>24</v>
      </c>
      <c r="O25" s="2"/>
    </row>
    <row r="26" spans="1:16">
      <c r="A26" t="s">
        <v>25</v>
      </c>
      <c r="B26">
        <v>34000</v>
      </c>
      <c r="C26">
        <v>46000</v>
      </c>
      <c r="E26" s="1">
        <f t="shared" si="0"/>
        <v>80000</v>
      </c>
      <c r="F26" s="3">
        <v>0.92</v>
      </c>
      <c r="G26" s="2">
        <f t="shared" si="1"/>
        <v>73600</v>
      </c>
      <c r="H26" s="2">
        <f t="shared" si="2"/>
        <v>498640</v>
      </c>
      <c r="I26" s="2"/>
      <c r="L26" s="2"/>
      <c r="M26" s="2"/>
      <c r="N26" t="s">
        <v>25</v>
      </c>
      <c r="O26" s="2"/>
    </row>
    <row r="27" spans="1:16">
      <c r="A27" t="s">
        <v>26</v>
      </c>
      <c r="B27">
        <v>40000</v>
      </c>
      <c r="C27">
        <v>51000</v>
      </c>
      <c r="E27" s="1">
        <f t="shared" si="0"/>
        <v>91000</v>
      </c>
      <c r="F27" s="3">
        <v>0.92</v>
      </c>
      <c r="G27" s="2">
        <f t="shared" si="1"/>
        <v>83720</v>
      </c>
      <c r="H27" s="2">
        <f t="shared" si="2"/>
        <v>582360</v>
      </c>
      <c r="I27" s="2"/>
      <c r="L27" s="2"/>
      <c r="M27" s="2"/>
      <c r="N27" t="s">
        <v>26</v>
      </c>
      <c r="O27" s="2"/>
    </row>
    <row r="28" spans="1:16">
      <c r="A28" t="s">
        <v>27</v>
      </c>
      <c r="B28">
        <v>44000</v>
      </c>
      <c r="C28">
        <v>55000</v>
      </c>
      <c r="E28" s="1">
        <f t="shared" si="0"/>
        <v>99000</v>
      </c>
      <c r="F28" s="3">
        <v>0.92</v>
      </c>
      <c r="G28" s="2">
        <f t="shared" si="1"/>
        <v>91080</v>
      </c>
      <c r="H28" s="2">
        <f t="shared" si="2"/>
        <v>673440</v>
      </c>
      <c r="I28" s="2"/>
      <c r="L28" s="2"/>
      <c r="M28" s="2"/>
      <c r="N28" t="s">
        <v>27</v>
      </c>
      <c r="O28" s="2"/>
    </row>
    <row r="29" spans="1:16">
      <c r="A29" t="s">
        <v>28</v>
      </c>
      <c r="B29">
        <v>49000</v>
      </c>
      <c r="C29">
        <v>58000</v>
      </c>
      <c r="E29" s="1">
        <f t="shared" si="0"/>
        <v>107000</v>
      </c>
      <c r="F29" s="3">
        <v>0.92</v>
      </c>
      <c r="G29" s="2">
        <f t="shared" si="1"/>
        <v>98440</v>
      </c>
      <c r="H29" s="2">
        <f t="shared" si="2"/>
        <v>771880</v>
      </c>
      <c r="I29" s="4" t="s">
        <v>124</v>
      </c>
      <c r="L29" s="2">
        <f>H29-H24</f>
        <v>414000</v>
      </c>
      <c r="M29" s="2"/>
      <c r="N29" t="s">
        <v>28</v>
      </c>
      <c r="O29" s="4"/>
      <c r="P29" s="6">
        <v>346431</v>
      </c>
    </row>
    <row r="30" spans="1:16">
      <c r="A30" t="s">
        <v>29</v>
      </c>
      <c r="B30">
        <v>50000</v>
      </c>
      <c r="C30">
        <v>59000</v>
      </c>
      <c r="E30" s="1">
        <f t="shared" si="0"/>
        <v>109000</v>
      </c>
      <c r="F30" s="3">
        <v>0.92</v>
      </c>
      <c r="G30" s="2">
        <f t="shared" si="1"/>
        <v>100280</v>
      </c>
      <c r="H30" s="2">
        <f t="shared" si="2"/>
        <v>872160</v>
      </c>
      <c r="I30" s="2"/>
      <c r="L30" s="2"/>
      <c r="M30" s="2"/>
      <c r="N30" t="s">
        <v>29</v>
      </c>
      <c r="O30" s="2"/>
    </row>
    <row r="31" spans="1:16">
      <c r="A31" t="s">
        <v>30</v>
      </c>
      <c r="B31">
        <v>56000</v>
      </c>
      <c r="C31">
        <v>63000</v>
      </c>
      <c r="E31" s="1">
        <f t="shared" si="0"/>
        <v>119000</v>
      </c>
      <c r="F31" s="3">
        <v>0.92</v>
      </c>
      <c r="G31" s="2">
        <f t="shared" si="1"/>
        <v>109480</v>
      </c>
      <c r="H31" s="2">
        <f t="shared" si="2"/>
        <v>981640</v>
      </c>
      <c r="I31" s="2"/>
      <c r="L31" s="2"/>
      <c r="M31" s="2"/>
      <c r="N31" t="s">
        <v>30</v>
      </c>
      <c r="O31" s="2"/>
    </row>
    <row r="32" spans="1:16">
      <c r="A32" t="s">
        <v>31</v>
      </c>
      <c r="B32">
        <v>63000</v>
      </c>
      <c r="C32">
        <v>70000</v>
      </c>
      <c r="E32" s="1">
        <f t="shared" si="0"/>
        <v>133000</v>
      </c>
      <c r="F32" s="3">
        <v>0.92</v>
      </c>
      <c r="G32" s="2">
        <f t="shared" si="1"/>
        <v>122360</v>
      </c>
      <c r="H32" s="2">
        <f t="shared" si="2"/>
        <v>1104000</v>
      </c>
      <c r="I32" s="2"/>
      <c r="L32" s="2"/>
      <c r="M32" s="2"/>
      <c r="N32" t="s">
        <v>31</v>
      </c>
      <c r="O32" s="2"/>
    </row>
    <row r="33" spans="1:23">
      <c r="A33" t="s">
        <v>32</v>
      </c>
      <c r="B33">
        <v>68000</v>
      </c>
      <c r="C33">
        <v>75000</v>
      </c>
      <c r="E33" s="1">
        <f t="shared" si="0"/>
        <v>143000</v>
      </c>
      <c r="F33" s="3">
        <v>0.92</v>
      </c>
      <c r="G33" s="2">
        <f t="shared" si="1"/>
        <v>131560</v>
      </c>
      <c r="H33" s="2">
        <f t="shared" si="2"/>
        <v>1235560</v>
      </c>
      <c r="I33" s="2"/>
      <c r="L33" s="2"/>
      <c r="M33" s="2"/>
      <c r="N33" t="s">
        <v>32</v>
      </c>
      <c r="O33" s="2"/>
    </row>
    <row r="34" spans="1:23">
      <c r="A34" t="s">
        <v>33</v>
      </c>
      <c r="B34">
        <v>67000</v>
      </c>
      <c r="C34">
        <v>73000</v>
      </c>
      <c r="E34" s="1">
        <f t="shared" si="0"/>
        <v>140000</v>
      </c>
      <c r="F34" s="3">
        <v>0.92</v>
      </c>
      <c r="G34" s="2">
        <f t="shared" si="1"/>
        <v>128800</v>
      </c>
      <c r="H34" s="2">
        <f t="shared" si="2"/>
        <v>1364360</v>
      </c>
      <c r="I34" s="4" t="s">
        <v>127</v>
      </c>
      <c r="L34" s="2">
        <f>H34-H29</f>
        <v>592480</v>
      </c>
      <c r="M34" s="2"/>
      <c r="N34" t="s">
        <v>33</v>
      </c>
      <c r="O34" s="4"/>
      <c r="P34" s="6">
        <v>242759</v>
      </c>
    </row>
    <row r="35" spans="1:23">
      <c r="A35" t="s">
        <v>34</v>
      </c>
      <c r="B35">
        <v>98000</v>
      </c>
      <c r="C35">
        <v>104000</v>
      </c>
      <c r="E35" s="1">
        <f t="shared" si="0"/>
        <v>202000</v>
      </c>
      <c r="F35" s="3">
        <v>0.92</v>
      </c>
      <c r="G35" s="2">
        <f t="shared" si="1"/>
        <v>185840</v>
      </c>
      <c r="H35" s="2">
        <f t="shared" si="2"/>
        <v>1550200</v>
      </c>
      <c r="I35" s="2"/>
      <c r="L35" s="2"/>
      <c r="M35" s="2"/>
      <c r="N35" t="s">
        <v>34</v>
      </c>
      <c r="O35" s="2"/>
    </row>
    <row r="36" spans="1:23">
      <c r="A36" t="s">
        <v>35</v>
      </c>
      <c r="B36">
        <v>97000</v>
      </c>
      <c r="C36">
        <v>102000</v>
      </c>
      <c r="E36" s="1">
        <f t="shared" si="0"/>
        <v>199000</v>
      </c>
      <c r="F36" s="3">
        <v>0.92</v>
      </c>
      <c r="G36" s="2">
        <f t="shared" si="1"/>
        <v>183080</v>
      </c>
      <c r="H36" s="2">
        <f t="shared" si="2"/>
        <v>1733280</v>
      </c>
      <c r="I36" s="2"/>
      <c r="L36" s="2"/>
      <c r="M36" s="2"/>
      <c r="N36" t="s">
        <v>35</v>
      </c>
      <c r="O36" s="2"/>
    </row>
    <row r="37" spans="1:23">
      <c r="A37" t="s">
        <v>36</v>
      </c>
      <c r="B37">
        <v>94000</v>
      </c>
      <c r="C37">
        <v>98000</v>
      </c>
      <c r="E37" s="1">
        <f t="shared" si="0"/>
        <v>192000</v>
      </c>
      <c r="F37" s="3">
        <v>0.92</v>
      </c>
      <c r="G37" s="2">
        <f t="shared" si="1"/>
        <v>176640</v>
      </c>
      <c r="H37" s="2">
        <f t="shared" si="2"/>
        <v>1909920</v>
      </c>
      <c r="I37" s="2"/>
      <c r="L37" s="2"/>
      <c r="M37" s="2"/>
      <c r="N37" t="s">
        <v>36</v>
      </c>
      <c r="O37" s="2"/>
    </row>
    <row r="38" spans="1:23">
      <c r="A38" t="s">
        <v>37</v>
      </c>
      <c r="B38">
        <v>93000</v>
      </c>
      <c r="C38">
        <v>96000</v>
      </c>
      <c r="E38" s="1">
        <f t="shared" si="0"/>
        <v>189000</v>
      </c>
      <c r="F38" s="3">
        <v>0.92</v>
      </c>
      <c r="G38" s="2">
        <f t="shared" si="1"/>
        <v>173880</v>
      </c>
      <c r="H38" s="2">
        <f t="shared" si="2"/>
        <v>2083800</v>
      </c>
      <c r="I38" s="2"/>
      <c r="L38" s="2"/>
      <c r="M38" s="2"/>
      <c r="N38" t="s">
        <v>37</v>
      </c>
      <c r="O38" s="2"/>
    </row>
    <row r="39" spans="1:23">
      <c r="A39" t="s">
        <v>38</v>
      </c>
      <c r="B39">
        <v>93000</v>
      </c>
      <c r="C39">
        <v>96000</v>
      </c>
      <c r="E39" s="1">
        <f t="shared" si="0"/>
        <v>189000</v>
      </c>
      <c r="F39" s="3">
        <v>0.92</v>
      </c>
      <c r="G39" s="2">
        <f t="shared" si="1"/>
        <v>173880</v>
      </c>
      <c r="H39" s="2">
        <f t="shared" si="2"/>
        <v>2257680</v>
      </c>
      <c r="I39" s="4" t="s">
        <v>128</v>
      </c>
      <c r="L39" s="2">
        <f>H39-H34</f>
        <v>893320</v>
      </c>
      <c r="M39" s="2"/>
      <c r="N39" t="s">
        <v>38</v>
      </c>
      <c r="O39" s="4"/>
      <c r="P39" s="6">
        <v>54790</v>
      </c>
    </row>
    <row r="40" spans="1:23">
      <c r="A40" t="s">
        <v>39</v>
      </c>
      <c r="B40">
        <v>94000</v>
      </c>
      <c r="C40">
        <v>96000</v>
      </c>
      <c r="E40" s="1">
        <f t="shared" si="0"/>
        <v>190000</v>
      </c>
      <c r="F40" s="3">
        <v>0.87</v>
      </c>
      <c r="G40" s="2">
        <f t="shared" si="1"/>
        <v>165300</v>
      </c>
      <c r="H40" s="2">
        <f t="shared" si="2"/>
        <v>2422980</v>
      </c>
      <c r="I40" s="2"/>
      <c r="L40" s="2"/>
      <c r="M40" s="2"/>
      <c r="N40" t="s">
        <v>39</v>
      </c>
      <c r="O40" s="2" t="s">
        <v>131</v>
      </c>
      <c r="U40">
        <f>2021</f>
        <v>2021</v>
      </c>
      <c r="V40">
        <v>1975</v>
      </c>
      <c r="W40">
        <f>U40-V40</f>
        <v>46</v>
      </c>
    </row>
    <row r="41" spans="1:23">
      <c r="A41" t="s">
        <v>40</v>
      </c>
      <c r="B41">
        <v>98000</v>
      </c>
      <c r="C41">
        <v>101000</v>
      </c>
      <c r="E41" s="1">
        <f t="shared" si="0"/>
        <v>199000</v>
      </c>
      <c r="F41" s="3">
        <v>0.87</v>
      </c>
      <c r="G41" s="2">
        <f t="shared" si="1"/>
        <v>173130</v>
      </c>
      <c r="H41" s="2">
        <f t="shared" si="2"/>
        <v>2596110</v>
      </c>
      <c r="I41" s="2"/>
      <c r="L41" s="2"/>
      <c r="M41" s="2"/>
      <c r="N41" t="s">
        <v>40</v>
      </c>
      <c r="O41" s="2" t="s">
        <v>131</v>
      </c>
    </row>
    <row r="42" spans="1:23">
      <c r="A42" t="s">
        <v>41</v>
      </c>
      <c r="B42">
        <v>99000</v>
      </c>
      <c r="C42">
        <v>101000</v>
      </c>
      <c r="E42" s="1">
        <f t="shared" si="0"/>
        <v>200000</v>
      </c>
      <c r="F42" s="3">
        <v>0.87</v>
      </c>
      <c r="G42" s="2">
        <f t="shared" si="1"/>
        <v>174000</v>
      </c>
      <c r="H42" s="2">
        <f t="shared" si="2"/>
        <v>2770110</v>
      </c>
      <c r="I42" s="2"/>
      <c r="L42" s="2"/>
      <c r="M42" s="2"/>
      <c r="N42" t="s">
        <v>41</v>
      </c>
      <c r="O42" s="2" t="s">
        <v>131</v>
      </c>
    </row>
    <row r="43" spans="1:23">
      <c r="A43" t="s">
        <v>42</v>
      </c>
      <c r="B43">
        <v>102000</v>
      </c>
      <c r="C43">
        <v>103000</v>
      </c>
      <c r="E43" s="1">
        <f t="shared" si="0"/>
        <v>205000</v>
      </c>
      <c r="F43" s="3">
        <v>0.87</v>
      </c>
      <c r="G43" s="2">
        <f t="shared" si="1"/>
        <v>178350</v>
      </c>
      <c r="H43" s="2">
        <f t="shared" si="2"/>
        <v>2948460</v>
      </c>
      <c r="I43" s="2"/>
      <c r="L43" s="2"/>
      <c r="M43" s="2"/>
      <c r="N43" t="s">
        <v>42</v>
      </c>
      <c r="O43" s="2" t="s">
        <v>131</v>
      </c>
    </row>
    <row r="44" spans="1:23">
      <c r="A44" t="s">
        <v>43</v>
      </c>
      <c r="B44">
        <v>103000</v>
      </c>
      <c r="C44">
        <v>106000</v>
      </c>
      <c r="E44" s="1">
        <f t="shared" si="0"/>
        <v>209000</v>
      </c>
      <c r="F44" s="3">
        <v>0.87</v>
      </c>
      <c r="G44" s="2">
        <f t="shared" si="1"/>
        <v>181830</v>
      </c>
      <c r="H44" s="2">
        <f t="shared" si="2"/>
        <v>3130290</v>
      </c>
      <c r="I44" s="2"/>
      <c r="J44" s="1" t="s">
        <v>137</v>
      </c>
      <c r="K44" t="s">
        <v>130</v>
      </c>
      <c r="L44" s="2"/>
      <c r="M44" s="2"/>
      <c r="N44" t="s">
        <v>43</v>
      </c>
      <c r="O44" s="2" t="s">
        <v>131</v>
      </c>
    </row>
    <row r="45" spans="1:23">
      <c r="A45" t="s">
        <v>44</v>
      </c>
      <c r="B45">
        <v>108000</v>
      </c>
      <c r="C45">
        <v>109000</v>
      </c>
      <c r="E45" s="1">
        <f t="shared" si="0"/>
        <v>217000</v>
      </c>
      <c r="F45" s="3">
        <v>0.87</v>
      </c>
      <c r="G45" s="2">
        <f t="shared" si="1"/>
        <v>188790</v>
      </c>
      <c r="H45" s="2">
        <f t="shared" si="2"/>
        <v>3319080</v>
      </c>
      <c r="I45" s="2"/>
      <c r="J45" s="1" t="s">
        <v>138</v>
      </c>
      <c r="K45" t="s">
        <v>136</v>
      </c>
      <c r="L45" s="2"/>
      <c r="M45" s="2"/>
      <c r="N45" t="s">
        <v>44</v>
      </c>
      <c r="O45" s="2" t="s">
        <v>131</v>
      </c>
    </row>
    <row r="46" spans="1:23">
      <c r="A46" t="s">
        <v>45</v>
      </c>
      <c r="B46">
        <v>110000</v>
      </c>
      <c r="C46">
        <v>111000</v>
      </c>
      <c r="E46" s="1">
        <f t="shared" si="0"/>
        <v>221000</v>
      </c>
      <c r="F46" s="3">
        <v>0.87</v>
      </c>
      <c r="G46" s="2">
        <f t="shared" si="1"/>
        <v>192270</v>
      </c>
      <c r="H46" s="2">
        <f t="shared" si="2"/>
        <v>3511350</v>
      </c>
      <c r="I46" s="2" t="s">
        <v>129</v>
      </c>
      <c r="J46" s="1" t="s">
        <v>139</v>
      </c>
      <c r="K46" t="s">
        <v>135</v>
      </c>
      <c r="L46" s="2"/>
      <c r="M46" s="2"/>
      <c r="N46" t="s">
        <v>45</v>
      </c>
      <c r="O46" s="2" t="s">
        <v>131</v>
      </c>
    </row>
    <row r="47" spans="1:23">
      <c r="A47" t="s">
        <v>46</v>
      </c>
      <c r="B47">
        <v>113000</v>
      </c>
      <c r="C47">
        <v>114000</v>
      </c>
      <c r="E47" s="1">
        <f t="shared" si="0"/>
        <v>227000</v>
      </c>
      <c r="F47" s="3">
        <v>0.87</v>
      </c>
      <c r="G47" s="2">
        <f t="shared" si="1"/>
        <v>197490</v>
      </c>
      <c r="H47" s="2">
        <f t="shared" si="2"/>
        <v>3708840</v>
      </c>
      <c r="I47" s="2">
        <f>H47-$H$46</f>
        <v>197490</v>
      </c>
      <c r="J47" s="1">
        <f>200000</f>
        <v>200000</v>
      </c>
      <c r="N47" t="s">
        <v>46</v>
      </c>
      <c r="O47" s="2" t="s">
        <v>131</v>
      </c>
      <c r="R47" s="1" t="s">
        <v>130</v>
      </c>
    </row>
    <row r="48" spans="1:23">
      <c r="A48" t="s">
        <v>47</v>
      </c>
      <c r="B48">
        <v>117000</v>
      </c>
      <c r="C48">
        <v>118000</v>
      </c>
      <c r="E48" s="1">
        <f t="shared" si="0"/>
        <v>235000</v>
      </c>
      <c r="F48" s="3">
        <v>0.87</v>
      </c>
      <c r="G48" s="2">
        <f t="shared" si="1"/>
        <v>204450</v>
      </c>
      <c r="H48" s="2">
        <f t="shared" si="2"/>
        <v>3913290</v>
      </c>
      <c r="I48" s="2">
        <f t="shared" ref="I48:I91" si="3">H48-$H$46</f>
        <v>401940</v>
      </c>
      <c r="J48" s="1">
        <f t="shared" ref="J48:J91" si="4">200000</f>
        <v>200000</v>
      </c>
      <c r="N48" t="s">
        <v>47</v>
      </c>
      <c r="O48" s="2" t="s">
        <v>131</v>
      </c>
      <c r="R48" s="1">
        <f>110000*0.75</f>
        <v>82500</v>
      </c>
    </row>
    <row r="49" spans="1:17" ht="15.5">
      <c r="A49" t="s">
        <v>48</v>
      </c>
      <c r="B49">
        <v>119000</v>
      </c>
      <c r="C49">
        <v>119000</v>
      </c>
      <c r="E49" s="1">
        <f t="shared" si="0"/>
        <v>238000</v>
      </c>
      <c r="F49" s="3">
        <v>0.87</v>
      </c>
      <c r="G49" s="2">
        <f t="shared" si="1"/>
        <v>207060</v>
      </c>
      <c r="H49" s="2">
        <f t="shared" si="2"/>
        <v>4120350</v>
      </c>
      <c r="I49" s="2">
        <f t="shared" si="3"/>
        <v>609000</v>
      </c>
      <c r="J49" s="1">
        <f t="shared" si="4"/>
        <v>200000</v>
      </c>
      <c r="N49" s="7" t="s">
        <v>134</v>
      </c>
      <c r="O49" s="2"/>
    </row>
    <row r="50" spans="1:17">
      <c r="A50" t="s">
        <v>49</v>
      </c>
      <c r="B50">
        <v>123000</v>
      </c>
      <c r="C50">
        <v>123000</v>
      </c>
      <c r="E50" s="1">
        <f t="shared" si="0"/>
        <v>246000</v>
      </c>
      <c r="F50" s="3">
        <v>0.87</v>
      </c>
      <c r="G50" s="2">
        <f t="shared" si="1"/>
        <v>214020</v>
      </c>
      <c r="H50" s="2">
        <f t="shared" si="2"/>
        <v>4334370</v>
      </c>
      <c r="I50" s="2">
        <f t="shared" si="3"/>
        <v>823020</v>
      </c>
      <c r="J50" s="1">
        <f t="shared" si="4"/>
        <v>200000</v>
      </c>
      <c r="K50">
        <f>110000*0.75</f>
        <v>82500</v>
      </c>
      <c r="L50" s="2">
        <f>(I50+J50)/K50</f>
        <v>12.400242424242425</v>
      </c>
      <c r="M50" s="2"/>
      <c r="N50" t="s">
        <v>49</v>
      </c>
      <c r="O50" s="2" t="s">
        <v>132</v>
      </c>
      <c r="P50" s="6">
        <f t="shared" ref="P50:P53" si="5">ROUND((L50*2)/7,0)/2</f>
        <v>2</v>
      </c>
      <c r="Q50" s="6" t="s">
        <v>133</v>
      </c>
    </row>
    <row r="51" spans="1:17">
      <c r="A51" t="s">
        <v>50</v>
      </c>
      <c r="B51">
        <v>124000</v>
      </c>
      <c r="C51">
        <v>124000</v>
      </c>
      <c r="E51" s="1">
        <f t="shared" si="0"/>
        <v>248000</v>
      </c>
      <c r="F51" s="3">
        <v>0.87</v>
      </c>
      <c r="G51" s="2">
        <f t="shared" si="1"/>
        <v>215760</v>
      </c>
      <c r="H51" s="2">
        <f t="shared" si="2"/>
        <v>4550130</v>
      </c>
      <c r="I51" s="2">
        <f t="shared" si="3"/>
        <v>1038780</v>
      </c>
      <c r="J51" s="1">
        <f t="shared" si="4"/>
        <v>200000</v>
      </c>
      <c r="K51">
        <f t="shared" ref="K51:K56" si="6">110000*0.75</f>
        <v>82500</v>
      </c>
      <c r="L51" s="2">
        <f t="shared" ref="L51:L91" si="7">(I51+J51)/K51</f>
        <v>15.015515151515151</v>
      </c>
      <c r="M51" s="2"/>
      <c r="N51" t="s">
        <v>50</v>
      </c>
      <c r="O51" s="2" t="s">
        <v>132</v>
      </c>
      <c r="P51" s="6">
        <f t="shared" si="5"/>
        <v>2</v>
      </c>
      <c r="Q51" s="6" t="s">
        <v>133</v>
      </c>
    </row>
    <row r="52" spans="1:17">
      <c r="A52" t="s">
        <v>51</v>
      </c>
      <c r="B52">
        <v>128000</v>
      </c>
      <c r="C52">
        <v>126000</v>
      </c>
      <c r="E52" s="1">
        <f t="shared" si="0"/>
        <v>254000</v>
      </c>
      <c r="F52" s="3">
        <v>0.87</v>
      </c>
      <c r="G52" s="2">
        <f t="shared" si="1"/>
        <v>220980</v>
      </c>
      <c r="H52" s="2">
        <f t="shared" si="2"/>
        <v>4771110</v>
      </c>
      <c r="I52" s="2">
        <f t="shared" si="3"/>
        <v>1259760</v>
      </c>
      <c r="J52" s="1">
        <f t="shared" si="4"/>
        <v>200000</v>
      </c>
      <c r="K52">
        <f t="shared" si="6"/>
        <v>82500</v>
      </c>
      <c r="L52" s="2">
        <f t="shared" si="7"/>
        <v>17.694060606060606</v>
      </c>
      <c r="M52" s="2"/>
      <c r="N52" t="s">
        <v>51</v>
      </c>
      <c r="O52" s="2" t="s">
        <v>132</v>
      </c>
      <c r="P52" s="6">
        <f t="shared" si="5"/>
        <v>2.5</v>
      </c>
      <c r="Q52" s="6" t="s">
        <v>133</v>
      </c>
    </row>
    <row r="53" spans="1:17">
      <c r="A53" t="s">
        <v>52</v>
      </c>
      <c r="B53">
        <v>130000</v>
      </c>
      <c r="C53">
        <v>129000</v>
      </c>
      <c r="E53" s="1">
        <f t="shared" si="0"/>
        <v>259000</v>
      </c>
      <c r="F53" s="3">
        <v>0.87</v>
      </c>
      <c r="G53" s="2">
        <f t="shared" si="1"/>
        <v>225330</v>
      </c>
      <c r="H53" s="2">
        <f t="shared" si="2"/>
        <v>4996440</v>
      </c>
      <c r="I53" s="2">
        <f>H53-$H$46</f>
        <v>1485090</v>
      </c>
      <c r="J53" s="1">
        <f t="shared" si="4"/>
        <v>200000</v>
      </c>
      <c r="K53">
        <f t="shared" si="6"/>
        <v>82500</v>
      </c>
      <c r="L53" s="2">
        <f t="shared" si="7"/>
        <v>20.425333333333334</v>
      </c>
      <c r="M53" s="2"/>
      <c r="N53" t="s">
        <v>52</v>
      </c>
      <c r="O53" s="2" t="s">
        <v>132</v>
      </c>
      <c r="P53" s="6">
        <f t="shared" si="5"/>
        <v>3</v>
      </c>
      <c r="Q53" s="6" t="s">
        <v>133</v>
      </c>
    </row>
    <row r="54" spans="1:17">
      <c r="A54" t="s">
        <v>53</v>
      </c>
      <c r="B54">
        <v>129000</v>
      </c>
      <c r="C54">
        <v>127000</v>
      </c>
      <c r="E54" s="1">
        <f t="shared" si="0"/>
        <v>256000</v>
      </c>
      <c r="F54" s="3">
        <v>0.87</v>
      </c>
      <c r="G54" s="2">
        <f t="shared" si="1"/>
        <v>222720</v>
      </c>
      <c r="H54" s="2">
        <f t="shared" si="2"/>
        <v>5219160</v>
      </c>
      <c r="I54" s="2">
        <f t="shared" si="3"/>
        <v>1707810</v>
      </c>
      <c r="J54" s="1">
        <f t="shared" si="4"/>
        <v>200000</v>
      </c>
      <c r="K54">
        <f t="shared" si="6"/>
        <v>82500</v>
      </c>
      <c r="L54" s="2">
        <f t="shared" si="7"/>
        <v>23.124969696969696</v>
      </c>
      <c r="M54" s="2"/>
      <c r="N54" t="s">
        <v>53</v>
      </c>
      <c r="O54" s="2" t="s">
        <v>132</v>
      </c>
      <c r="P54" s="6">
        <f>ROUND((L54*2)/7,0)/2</f>
        <v>3.5</v>
      </c>
      <c r="Q54" s="6" t="s">
        <v>133</v>
      </c>
    </row>
    <row r="55" spans="1:17">
      <c r="A55" t="s">
        <v>54</v>
      </c>
      <c r="B55">
        <v>127000</v>
      </c>
      <c r="C55">
        <v>126000</v>
      </c>
      <c r="E55" s="1">
        <f t="shared" si="0"/>
        <v>253000</v>
      </c>
      <c r="F55" s="3">
        <v>0.74</v>
      </c>
      <c r="G55" s="2">
        <f t="shared" si="1"/>
        <v>187220</v>
      </c>
      <c r="H55" s="2">
        <f t="shared" si="2"/>
        <v>5406380</v>
      </c>
      <c r="I55" s="2">
        <f t="shared" si="3"/>
        <v>1895030</v>
      </c>
      <c r="J55" s="1">
        <f t="shared" si="4"/>
        <v>200000</v>
      </c>
      <c r="K55">
        <f t="shared" si="6"/>
        <v>82500</v>
      </c>
      <c r="L55" s="2">
        <f t="shared" si="7"/>
        <v>25.394303030303032</v>
      </c>
      <c r="M55" s="2"/>
      <c r="N55" t="s">
        <v>54</v>
      </c>
      <c r="O55" s="2" t="s">
        <v>132</v>
      </c>
      <c r="P55" s="6">
        <f t="shared" ref="P55:P91" si="8">ROUND((L55*2)/7,0)/2</f>
        <v>3.5</v>
      </c>
      <c r="Q55" s="6" t="s">
        <v>133</v>
      </c>
    </row>
    <row r="56" spans="1:17">
      <c r="A56" t="s">
        <v>55</v>
      </c>
      <c r="B56">
        <v>126000</v>
      </c>
      <c r="C56">
        <v>125000</v>
      </c>
      <c r="E56" s="1">
        <f t="shared" si="0"/>
        <v>251000</v>
      </c>
      <c r="F56" s="3">
        <v>0.74</v>
      </c>
      <c r="G56" s="2">
        <f t="shared" si="1"/>
        <v>185740</v>
      </c>
      <c r="H56" s="2">
        <f t="shared" si="2"/>
        <v>5592120</v>
      </c>
      <c r="I56" s="2">
        <f t="shared" si="3"/>
        <v>2080770</v>
      </c>
      <c r="J56" s="1">
        <f t="shared" si="4"/>
        <v>200000</v>
      </c>
      <c r="K56">
        <f t="shared" si="6"/>
        <v>82500</v>
      </c>
      <c r="L56" s="2">
        <f t="shared" si="7"/>
        <v>27.645696969696971</v>
      </c>
      <c r="M56" s="2"/>
      <c r="N56" t="s">
        <v>55</v>
      </c>
      <c r="O56" s="2" t="s">
        <v>132</v>
      </c>
      <c r="P56" s="6">
        <f t="shared" si="8"/>
        <v>4</v>
      </c>
      <c r="Q56" s="6" t="s">
        <v>133</v>
      </c>
    </row>
    <row r="57" spans="1:17">
      <c r="A57" t="s">
        <v>56</v>
      </c>
      <c r="B57">
        <v>128000</v>
      </c>
      <c r="C57">
        <v>127000</v>
      </c>
      <c r="E57" s="1">
        <f t="shared" si="0"/>
        <v>255000</v>
      </c>
      <c r="F57" s="3">
        <v>0.74</v>
      </c>
      <c r="G57" s="2">
        <f t="shared" si="1"/>
        <v>188700</v>
      </c>
      <c r="H57" s="2">
        <f t="shared" si="2"/>
        <v>5780820</v>
      </c>
      <c r="I57" s="2">
        <f t="shared" si="3"/>
        <v>2269470</v>
      </c>
      <c r="J57" s="1">
        <f t="shared" si="4"/>
        <v>200000</v>
      </c>
      <c r="K57">
        <f>165000*0.6</f>
        <v>99000</v>
      </c>
      <c r="L57" s="2">
        <f t="shared" si="7"/>
        <v>24.944141414141413</v>
      </c>
      <c r="M57" s="2"/>
      <c r="N57" t="s">
        <v>56</v>
      </c>
      <c r="O57" s="2" t="s">
        <v>132</v>
      </c>
      <c r="P57" s="6">
        <f t="shared" si="8"/>
        <v>3.5</v>
      </c>
      <c r="Q57" s="6" t="s">
        <v>133</v>
      </c>
    </row>
    <row r="58" spans="1:17">
      <c r="A58" t="s">
        <v>57</v>
      </c>
      <c r="B58">
        <v>133000</v>
      </c>
      <c r="C58">
        <v>133000</v>
      </c>
      <c r="E58" s="1">
        <f t="shared" si="0"/>
        <v>266000</v>
      </c>
      <c r="F58" s="3">
        <v>0.74</v>
      </c>
      <c r="G58" s="2">
        <f t="shared" si="1"/>
        <v>196840</v>
      </c>
      <c r="H58" s="2">
        <f t="shared" si="2"/>
        <v>5977660</v>
      </c>
      <c r="I58" s="2">
        <f t="shared" si="3"/>
        <v>2466310</v>
      </c>
      <c r="J58" s="1">
        <f t="shared" si="4"/>
        <v>200000</v>
      </c>
      <c r="K58">
        <f t="shared" ref="K58:K91" si="9">165000*0.6</f>
        <v>99000</v>
      </c>
      <c r="L58" s="2">
        <f t="shared" si="7"/>
        <v>26.932424242424243</v>
      </c>
      <c r="M58" s="2"/>
      <c r="N58" t="s">
        <v>57</v>
      </c>
      <c r="O58" s="2" t="s">
        <v>132</v>
      </c>
      <c r="P58" s="6">
        <f t="shared" si="8"/>
        <v>4</v>
      </c>
      <c r="Q58" s="6" t="s">
        <v>133</v>
      </c>
    </row>
    <row r="59" spans="1:17">
      <c r="A59" t="s">
        <v>58</v>
      </c>
      <c r="B59">
        <v>130000</v>
      </c>
      <c r="C59">
        <v>130000</v>
      </c>
      <c r="E59" s="1">
        <f t="shared" si="0"/>
        <v>260000</v>
      </c>
      <c r="F59" s="3">
        <v>0.74</v>
      </c>
      <c r="G59" s="2">
        <f t="shared" si="1"/>
        <v>192400</v>
      </c>
      <c r="H59" s="2">
        <f t="shared" si="2"/>
        <v>6170060</v>
      </c>
      <c r="I59" s="2">
        <f t="shared" si="3"/>
        <v>2658710</v>
      </c>
      <c r="J59" s="1">
        <f t="shared" si="4"/>
        <v>200000</v>
      </c>
      <c r="K59">
        <f t="shared" si="9"/>
        <v>99000</v>
      </c>
      <c r="L59" s="2">
        <f t="shared" si="7"/>
        <v>28.875858585858587</v>
      </c>
      <c r="M59" s="2"/>
      <c r="N59" t="s">
        <v>58</v>
      </c>
      <c r="O59" s="2" t="s">
        <v>132</v>
      </c>
      <c r="P59" s="6">
        <f t="shared" si="8"/>
        <v>4</v>
      </c>
      <c r="Q59" s="6" t="s">
        <v>133</v>
      </c>
    </row>
    <row r="60" spans="1:17">
      <c r="A60" t="s">
        <v>59</v>
      </c>
      <c r="B60">
        <v>125000</v>
      </c>
      <c r="C60">
        <v>125000</v>
      </c>
      <c r="E60" s="1">
        <f t="shared" si="0"/>
        <v>250000</v>
      </c>
      <c r="F60" s="3">
        <v>0.74</v>
      </c>
      <c r="G60" s="2">
        <f t="shared" si="1"/>
        <v>185000</v>
      </c>
      <c r="H60" s="2">
        <f t="shared" si="2"/>
        <v>6355060</v>
      </c>
      <c r="I60" s="2">
        <f t="shared" si="3"/>
        <v>2843710</v>
      </c>
      <c r="J60" s="1">
        <f t="shared" si="4"/>
        <v>200000</v>
      </c>
      <c r="K60">
        <f t="shared" si="9"/>
        <v>99000</v>
      </c>
      <c r="L60" s="2">
        <f t="shared" si="7"/>
        <v>30.744545454545456</v>
      </c>
      <c r="M60" s="2"/>
      <c r="N60" t="s">
        <v>59</v>
      </c>
      <c r="O60" s="2" t="s">
        <v>132</v>
      </c>
      <c r="P60" s="6">
        <f t="shared" si="8"/>
        <v>4.5</v>
      </c>
      <c r="Q60" s="6" t="s">
        <v>133</v>
      </c>
    </row>
    <row r="61" spans="1:17">
      <c r="A61" t="s">
        <v>60</v>
      </c>
      <c r="B61">
        <v>119000</v>
      </c>
      <c r="C61">
        <v>121000</v>
      </c>
      <c r="E61" s="1">
        <f t="shared" si="0"/>
        <v>240000</v>
      </c>
      <c r="F61" s="3">
        <v>0.74</v>
      </c>
      <c r="G61" s="2">
        <f t="shared" si="1"/>
        <v>177600</v>
      </c>
      <c r="H61" s="2">
        <f t="shared" si="2"/>
        <v>6532660</v>
      </c>
      <c r="I61" s="2">
        <f t="shared" si="3"/>
        <v>3021310</v>
      </c>
      <c r="J61" s="1">
        <f t="shared" si="4"/>
        <v>200000</v>
      </c>
      <c r="K61">
        <f t="shared" si="9"/>
        <v>99000</v>
      </c>
      <c r="L61" s="2">
        <f t="shared" si="7"/>
        <v>32.538484848484849</v>
      </c>
      <c r="M61" s="2"/>
      <c r="N61" t="s">
        <v>60</v>
      </c>
      <c r="O61" s="2" t="s">
        <v>132</v>
      </c>
      <c r="P61" s="6">
        <f t="shared" si="8"/>
        <v>4.5</v>
      </c>
      <c r="Q61" s="6" t="s">
        <v>133</v>
      </c>
    </row>
    <row r="62" spans="1:17">
      <c r="A62" t="s">
        <v>61</v>
      </c>
      <c r="B62">
        <v>110000</v>
      </c>
      <c r="C62">
        <v>112000</v>
      </c>
      <c r="E62" s="1">
        <f t="shared" si="0"/>
        <v>222000</v>
      </c>
      <c r="F62" s="3">
        <v>0.74</v>
      </c>
      <c r="G62" s="2">
        <f t="shared" si="1"/>
        <v>164280</v>
      </c>
      <c r="H62" s="2">
        <f t="shared" si="2"/>
        <v>6696940</v>
      </c>
      <c r="I62" s="2">
        <f t="shared" si="3"/>
        <v>3185590</v>
      </c>
      <c r="J62" s="1">
        <f t="shared" si="4"/>
        <v>200000</v>
      </c>
      <c r="K62">
        <f t="shared" si="9"/>
        <v>99000</v>
      </c>
      <c r="L62" s="2">
        <f t="shared" si="7"/>
        <v>34.197878787878786</v>
      </c>
      <c r="M62" s="2"/>
      <c r="N62" t="s">
        <v>61</v>
      </c>
      <c r="O62" s="2" t="s">
        <v>132</v>
      </c>
      <c r="P62" s="6">
        <f t="shared" si="8"/>
        <v>5</v>
      </c>
      <c r="Q62" s="6" t="s">
        <v>133</v>
      </c>
    </row>
    <row r="63" spans="1:17">
      <c r="A63" t="s">
        <v>62</v>
      </c>
      <c r="B63">
        <v>106000</v>
      </c>
      <c r="C63">
        <v>108000</v>
      </c>
      <c r="E63" s="1">
        <f t="shared" si="0"/>
        <v>214000</v>
      </c>
      <c r="F63" s="3">
        <v>0.74</v>
      </c>
      <c r="G63" s="2">
        <f t="shared" si="1"/>
        <v>158360</v>
      </c>
      <c r="H63" s="2">
        <f t="shared" si="2"/>
        <v>6855300</v>
      </c>
      <c r="I63" s="2">
        <f t="shared" si="3"/>
        <v>3343950</v>
      </c>
      <c r="J63" s="1">
        <f t="shared" si="4"/>
        <v>200000</v>
      </c>
      <c r="K63">
        <f t="shared" si="9"/>
        <v>99000</v>
      </c>
      <c r="L63" s="2">
        <f t="shared" si="7"/>
        <v>35.797474747474745</v>
      </c>
      <c r="M63" s="2"/>
      <c r="N63" t="s">
        <v>62</v>
      </c>
      <c r="O63" s="2" t="s">
        <v>132</v>
      </c>
      <c r="P63" s="6">
        <f t="shared" si="8"/>
        <v>5</v>
      </c>
      <c r="Q63" s="6" t="s">
        <v>133</v>
      </c>
    </row>
    <row r="64" spans="1:17">
      <c r="A64" t="s">
        <v>63</v>
      </c>
      <c r="B64">
        <v>102000</v>
      </c>
      <c r="C64">
        <v>103000</v>
      </c>
      <c r="E64" s="1">
        <f t="shared" si="0"/>
        <v>205000</v>
      </c>
      <c r="F64" s="3">
        <v>0.74</v>
      </c>
      <c r="G64" s="2">
        <f t="shared" si="1"/>
        <v>151700</v>
      </c>
      <c r="H64" s="2">
        <f t="shared" si="2"/>
        <v>7007000</v>
      </c>
      <c r="I64" s="2">
        <f t="shared" si="3"/>
        <v>3495650</v>
      </c>
      <c r="J64" s="1">
        <f t="shared" si="4"/>
        <v>200000</v>
      </c>
      <c r="K64">
        <f t="shared" si="9"/>
        <v>99000</v>
      </c>
      <c r="L64" s="2">
        <f t="shared" si="7"/>
        <v>37.329797979797981</v>
      </c>
      <c r="M64" s="2"/>
      <c r="N64" t="s">
        <v>63</v>
      </c>
      <c r="O64" s="2" t="s">
        <v>132</v>
      </c>
      <c r="P64" s="6">
        <f t="shared" si="8"/>
        <v>5.5</v>
      </c>
      <c r="Q64" s="6" t="s">
        <v>133</v>
      </c>
    </row>
    <row r="65" spans="1:17">
      <c r="A65" t="s">
        <v>64</v>
      </c>
      <c r="B65">
        <v>102000</v>
      </c>
      <c r="C65">
        <v>102000</v>
      </c>
      <c r="E65" s="1">
        <f t="shared" si="0"/>
        <v>204000</v>
      </c>
      <c r="F65" s="3">
        <v>0.74</v>
      </c>
      <c r="G65" s="2">
        <f t="shared" si="1"/>
        <v>150960</v>
      </c>
      <c r="H65" s="2">
        <f t="shared" si="2"/>
        <v>7157960</v>
      </c>
      <c r="I65" s="2">
        <f t="shared" si="3"/>
        <v>3646610</v>
      </c>
      <c r="J65" s="1">
        <f t="shared" si="4"/>
        <v>200000</v>
      </c>
      <c r="K65">
        <f t="shared" si="9"/>
        <v>99000</v>
      </c>
      <c r="L65" s="2">
        <f t="shared" si="7"/>
        <v>38.854646464646464</v>
      </c>
      <c r="M65" s="2"/>
      <c r="N65" t="s">
        <v>64</v>
      </c>
      <c r="O65" s="2" t="s">
        <v>132</v>
      </c>
      <c r="P65" s="6">
        <f t="shared" si="8"/>
        <v>5.5</v>
      </c>
      <c r="Q65" s="6" t="s">
        <v>133</v>
      </c>
    </row>
    <row r="66" spans="1:17">
      <c r="A66" t="s">
        <v>65</v>
      </c>
      <c r="B66">
        <v>101000</v>
      </c>
      <c r="C66">
        <v>102000</v>
      </c>
      <c r="E66" s="1">
        <f t="shared" si="0"/>
        <v>203000</v>
      </c>
      <c r="F66" s="3">
        <v>0.74</v>
      </c>
      <c r="G66" s="2">
        <f t="shared" si="1"/>
        <v>150220</v>
      </c>
      <c r="H66" s="2">
        <f t="shared" si="2"/>
        <v>7308180</v>
      </c>
      <c r="I66" s="2">
        <f t="shared" si="3"/>
        <v>3796830</v>
      </c>
      <c r="J66" s="1">
        <f t="shared" si="4"/>
        <v>200000</v>
      </c>
      <c r="K66">
        <f t="shared" si="9"/>
        <v>99000</v>
      </c>
      <c r="L66" s="2">
        <f t="shared" si="7"/>
        <v>40.372020202020202</v>
      </c>
      <c r="M66" s="2"/>
      <c r="N66" t="s">
        <v>65</v>
      </c>
      <c r="O66" s="2" t="s">
        <v>132</v>
      </c>
      <c r="P66" s="6">
        <f t="shared" si="8"/>
        <v>6</v>
      </c>
      <c r="Q66" s="6" t="s">
        <v>133</v>
      </c>
    </row>
    <row r="67" spans="1:17">
      <c r="A67" t="s">
        <v>66</v>
      </c>
      <c r="B67">
        <v>103000</v>
      </c>
      <c r="C67">
        <v>103000</v>
      </c>
      <c r="E67" s="1">
        <f t="shared" si="0"/>
        <v>206000</v>
      </c>
      <c r="F67" s="3">
        <v>0.74</v>
      </c>
      <c r="G67" s="2">
        <f t="shared" si="1"/>
        <v>152440</v>
      </c>
      <c r="H67" s="2">
        <f t="shared" si="2"/>
        <v>7460620</v>
      </c>
      <c r="I67" s="2">
        <f t="shared" si="3"/>
        <v>3949270</v>
      </c>
      <c r="J67" s="1">
        <f t="shared" si="4"/>
        <v>200000</v>
      </c>
      <c r="K67">
        <f t="shared" si="9"/>
        <v>99000</v>
      </c>
      <c r="L67" s="2">
        <f t="shared" si="7"/>
        <v>41.911818181818184</v>
      </c>
      <c r="M67" s="2"/>
      <c r="N67" t="s">
        <v>66</v>
      </c>
      <c r="O67" s="2" t="s">
        <v>132</v>
      </c>
      <c r="P67" s="6">
        <f t="shared" si="8"/>
        <v>6</v>
      </c>
      <c r="Q67" s="6" t="s">
        <v>133</v>
      </c>
    </row>
    <row r="68" spans="1:17">
      <c r="A68" t="s">
        <v>67</v>
      </c>
      <c r="B68">
        <v>103000</v>
      </c>
      <c r="C68">
        <v>103000</v>
      </c>
      <c r="E68" s="1">
        <f t="shared" si="0"/>
        <v>206000</v>
      </c>
      <c r="F68" s="3">
        <v>0.74</v>
      </c>
      <c r="G68" s="2">
        <f t="shared" si="1"/>
        <v>152440</v>
      </c>
      <c r="H68" s="2">
        <f t="shared" si="2"/>
        <v>7613060</v>
      </c>
      <c r="I68" s="2">
        <f t="shared" si="3"/>
        <v>4101710</v>
      </c>
      <c r="J68" s="1">
        <f t="shared" si="4"/>
        <v>200000</v>
      </c>
      <c r="K68">
        <f t="shared" si="9"/>
        <v>99000</v>
      </c>
      <c r="L68" s="2">
        <f t="shared" si="7"/>
        <v>43.451616161616158</v>
      </c>
      <c r="M68" s="2"/>
      <c r="N68" t="s">
        <v>67</v>
      </c>
      <c r="O68" s="2" t="s">
        <v>132</v>
      </c>
      <c r="P68" s="6">
        <f t="shared" si="8"/>
        <v>6</v>
      </c>
      <c r="Q68" s="6" t="s">
        <v>133</v>
      </c>
    </row>
    <row r="69" spans="1:17">
      <c r="A69" t="s">
        <v>68</v>
      </c>
      <c r="B69">
        <v>107000</v>
      </c>
      <c r="C69">
        <v>107000</v>
      </c>
      <c r="E69" s="1">
        <f t="shared" ref="E69:E109" si="10">C69+B69</f>
        <v>214000</v>
      </c>
      <c r="F69" s="3">
        <v>0.74</v>
      </c>
      <c r="G69" s="2">
        <f t="shared" ref="G69:G109" si="11">F69*E69</f>
        <v>158360</v>
      </c>
      <c r="H69" s="2">
        <f t="shared" si="2"/>
        <v>7771420</v>
      </c>
      <c r="I69" s="2">
        <f t="shared" si="3"/>
        <v>4260070</v>
      </c>
      <c r="J69" s="1">
        <f t="shared" si="4"/>
        <v>200000</v>
      </c>
      <c r="K69">
        <f t="shared" si="9"/>
        <v>99000</v>
      </c>
      <c r="L69" s="2">
        <f t="shared" si="7"/>
        <v>45.051212121212124</v>
      </c>
      <c r="M69" s="2"/>
      <c r="N69" t="s">
        <v>68</v>
      </c>
      <c r="O69" s="2" t="s">
        <v>132</v>
      </c>
      <c r="P69" s="6">
        <f t="shared" si="8"/>
        <v>6.5</v>
      </c>
      <c r="Q69" s="6" t="s">
        <v>133</v>
      </c>
    </row>
    <row r="70" spans="1:17">
      <c r="A70" t="s">
        <v>69</v>
      </c>
      <c r="B70">
        <v>105000</v>
      </c>
      <c r="C70">
        <v>105000</v>
      </c>
      <c r="E70" s="1">
        <f t="shared" si="10"/>
        <v>210000</v>
      </c>
      <c r="F70" s="3">
        <v>0.65</v>
      </c>
      <c r="G70" s="2">
        <f t="shared" si="11"/>
        <v>136500</v>
      </c>
      <c r="H70" s="2">
        <f t="shared" ref="H70:H109" si="12">H69+G70</f>
        <v>7907920</v>
      </c>
      <c r="I70" s="2">
        <f t="shared" si="3"/>
        <v>4396570</v>
      </c>
      <c r="J70" s="1">
        <f t="shared" si="4"/>
        <v>200000</v>
      </c>
      <c r="K70">
        <f t="shared" si="9"/>
        <v>99000</v>
      </c>
      <c r="L70" s="2">
        <f t="shared" si="7"/>
        <v>46.43</v>
      </c>
      <c r="M70" s="2"/>
      <c r="N70" t="s">
        <v>69</v>
      </c>
      <c r="O70" s="2" t="s">
        <v>132</v>
      </c>
      <c r="P70" s="6">
        <f t="shared" si="8"/>
        <v>6.5</v>
      </c>
      <c r="Q70" s="6" t="s">
        <v>133</v>
      </c>
    </row>
    <row r="71" spans="1:17">
      <c r="A71" t="s">
        <v>70</v>
      </c>
      <c r="B71">
        <v>104000</v>
      </c>
      <c r="C71">
        <v>103000</v>
      </c>
      <c r="E71" s="1">
        <f t="shared" si="10"/>
        <v>207000</v>
      </c>
      <c r="F71" s="3">
        <v>0.65</v>
      </c>
      <c r="G71" s="2">
        <f t="shared" si="11"/>
        <v>134550</v>
      </c>
      <c r="H71" s="2">
        <f t="shared" si="12"/>
        <v>8042470</v>
      </c>
      <c r="I71" s="2">
        <f t="shared" si="3"/>
        <v>4531120</v>
      </c>
      <c r="J71" s="1">
        <f t="shared" si="4"/>
        <v>200000</v>
      </c>
      <c r="K71">
        <f t="shared" si="9"/>
        <v>99000</v>
      </c>
      <c r="L71" s="2">
        <f t="shared" si="7"/>
        <v>47.789090909090909</v>
      </c>
      <c r="M71" s="2"/>
      <c r="N71" t="s">
        <v>70</v>
      </c>
      <c r="O71" s="2" t="s">
        <v>132</v>
      </c>
      <c r="P71" s="6">
        <f t="shared" si="8"/>
        <v>7</v>
      </c>
      <c r="Q71" s="6" t="s">
        <v>133</v>
      </c>
    </row>
    <row r="72" spans="1:17">
      <c r="A72" t="s">
        <v>71</v>
      </c>
      <c r="B72">
        <v>104000</v>
      </c>
      <c r="C72">
        <v>103000</v>
      </c>
      <c r="E72" s="1">
        <f t="shared" si="10"/>
        <v>207000</v>
      </c>
      <c r="F72" s="3">
        <v>0.65</v>
      </c>
      <c r="G72" s="2">
        <f t="shared" si="11"/>
        <v>134550</v>
      </c>
      <c r="H72" s="2">
        <f t="shared" si="12"/>
        <v>8177020</v>
      </c>
      <c r="I72" s="2">
        <f t="shared" si="3"/>
        <v>4665670</v>
      </c>
      <c r="J72" s="1">
        <f t="shared" si="4"/>
        <v>200000</v>
      </c>
      <c r="K72">
        <f t="shared" si="9"/>
        <v>99000</v>
      </c>
      <c r="L72" s="2">
        <f t="shared" si="7"/>
        <v>49.148181818181818</v>
      </c>
      <c r="M72" s="2"/>
      <c r="N72" t="s">
        <v>71</v>
      </c>
      <c r="O72" s="2" t="s">
        <v>132</v>
      </c>
      <c r="P72" s="6">
        <f t="shared" si="8"/>
        <v>7</v>
      </c>
      <c r="Q72" s="6" t="s">
        <v>133</v>
      </c>
    </row>
    <row r="73" spans="1:17">
      <c r="A73" t="s">
        <v>72</v>
      </c>
      <c r="B73">
        <v>107000</v>
      </c>
      <c r="C73">
        <v>105000</v>
      </c>
      <c r="E73" s="1">
        <f t="shared" si="10"/>
        <v>212000</v>
      </c>
      <c r="F73" s="3">
        <v>0.65</v>
      </c>
      <c r="G73" s="2">
        <f t="shared" si="11"/>
        <v>137800</v>
      </c>
      <c r="H73" s="2">
        <f t="shared" si="12"/>
        <v>8314820</v>
      </c>
      <c r="I73" s="2">
        <f t="shared" si="3"/>
        <v>4803470</v>
      </c>
      <c r="J73" s="1">
        <f t="shared" si="4"/>
        <v>200000</v>
      </c>
      <c r="K73">
        <f t="shared" si="9"/>
        <v>99000</v>
      </c>
      <c r="L73" s="2">
        <f t="shared" si="7"/>
        <v>50.540101010101012</v>
      </c>
      <c r="M73" s="2"/>
      <c r="N73" t="s">
        <v>72</v>
      </c>
      <c r="O73" s="2" t="s">
        <v>132</v>
      </c>
      <c r="P73" s="6">
        <f t="shared" si="8"/>
        <v>7</v>
      </c>
      <c r="Q73" s="6" t="s">
        <v>133</v>
      </c>
    </row>
    <row r="74" spans="1:17">
      <c r="A74" t="s">
        <v>73</v>
      </c>
      <c r="B74">
        <v>109000</v>
      </c>
      <c r="C74">
        <v>107000</v>
      </c>
      <c r="E74" s="1">
        <f t="shared" si="10"/>
        <v>216000</v>
      </c>
      <c r="F74" s="3">
        <v>0.65</v>
      </c>
      <c r="G74" s="2">
        <f t="shared" si="11"/>
        <v>140400</v>
      </c>
      <c r="H74" s="2">
        <f t="shared" si="12"/>
        <v>8455220</v>
      </c>
      <c r="I74" s="2">
        <f t="shared" si="3"/>
        <v>4943870</v>
      </c>
      <c r="J74" s="1">
        <f t="shared" si="4"/>
        <v>200000</v>
      </c>
      <c r="K74">
        <f t="shared" si="9"/>
        <v>99000</v>
      </c>
      <c r="L74" s="2">
        <f t="shared" si="7"/>
        <v>51.958282828282826</v>
      </c>
      <c r="M74" s="2"/>
      <c r="N74" t="s">
        <v>73</v>
      </c>
      <c r="O74" s="2" t="s">
        <v>132</v>
      </c>
      <c r="P74" s="6">
        <f t="shared" si="8"/>
        <v>7.5</v>
      </c>
      <c r="Q74" s="6" t="s">
        <v>133</v>
      </c>
    </row>
    <row r="75" spans="1:17">
      <c r="A75" t="s">
        <v>74</v>
      </c>
      <c r="B75">
        <v>111000</v>
      </c>
      <c r="C75">
        <v>110000</v>
      </c>
      <c r="E75" s="1">
        <f t="shared" si="10"/>
        <v>221000</v>
      </c>
      <c r="F75" s="3">
        <v>0.65</v>
      </c>
      <c r="G75" s="2">
        <f t="shared" si="11"/>
        <v>143650</v>
      </c>
      <c r="H75" s="2">
        <f t="shared" si="12"/>
        <v>8598870</v>
      </c>
      <c r="I75" s="2">
        <f t="shared" si="3"/>
        <v>5087520</v>
      </c>
      <c r="J75" s="1">
        <f t="shared" si="4"/>
        <v>200000</v>
      </c>
      <c r="K75">
        <f t="shared" si="9"/>
        <v>99000</v>
      </c>
      <c r="L75" s="2">
        <f t="shared" si="7"/>
        <v>53.409292929292931</v>
      </c>
      <c r="M75" s="2"/>
      <c r="N75" t="s">
        <v>74</v>
      </c>
      <c r="O75" s="2" t="s">
        <v>132</v>
      </c>
      <c r="P75" s="6">
        <f t="shared" si="8"/>
        <v>7.5</v>
      </c>
      <c r="Q75" s="6" t="s">
        <v>133</v>
      </c>
    </row>
    <row r="76" spans="1:17">
      <c r="A76" t="s">
        <v>75</v>
      </c>
      <c r="B76">
        <v>113000</v>
      </c>
      <c r="C76">
        <v>109000</v>
      </c>
      <c r="E76" s="1">
        <f t="shared" si="10"/>
        <v>222000</v>
      </c>
      <c r="F76" s="3">
        <v>0.65</v>
      </c>
      <c r="G76" s="2">
        <f t="shared" si="11"/>
        <v>144300</v>
      </c>
      <c r="H76" s="2">
        <f t="shared" si="12"/>
        <v>8743170</v>
      </c>
      <c r="I76" s="2">
        <f t="shared" si="3"/>
        <v>5231820</v>
      </c>
      <c r="J76" s="1">
        <f t="shared" si="4"/>
        <v>200000</v>
      </c>
      <c r="K76">
        <f t="shared" si="9"/>
        <v>99000</v>
      </c>
      <c r="L76" s="2">
        <f t="shared" si="7"/>
        <v>54.866868686868685</v>
      </c>
      <c r="M76" s="2"/>
      <c r="N76" t="s">
        <v>75</v>
      </c>
      <c r="O76" s="2" t="s">
        <v>132</v>
      </c>
      <c r="P76" s="6">
        <f t="shared" si="8"/>
        <v>8</v>
      </c>
      <c r="Q76" s="6" t="s">
        <v>133</v>
      </c>
    </row>
    <row r="77" spans="1:17">
      <c r="A77" t="s">
        <v>76</v>
      </c>
      <c r="B77">
        <v>113000</v>
      </c>
      <c r="C77">
        <v>110000</v>
      </c>
      <c r="E77" s="1">
        <f t="shared" si="10"/>
        <v>223000</v>
      </c>
      <c r="F77" s="3">
        <v>0.65</v>
      </c>
      <c r="G77" s="2">
        <f t="shared" si="11"/>
        <v>144950</v>
      </c>
      <c r="H77" s="2">
        <f t="shared" si="12"/>
        <v>8888120</v>
      </c>
      <c r="I77" s="2">
        <f t="shared" si="3"/>
        <v>5376770</v>
      </c>
      <c r="J77" s="1">
        <f t="shared" si="4"/>
        <v>200000</v>
      </c>
      <c r="K77">
        <f t="shared" si="9"/>
        <v>99000</v>
      </c>
      <c r="L77" s="2">
        <f t="shared" si="7"/>
        <v>56.331010101010101</v>
      </c>
      <c r="M77" s="2"/>
      <c r="N77" t="s">
        <v>76</v>
      </c>
      <c r="O77" s="2" t="s">
        <v>132</v>
      </c>
      <c r="P77" s="6">
        <f t="shared" si="8"/>
        <v>8</v>
      </c>
      <c r="Q77" s="6" t="s">
        <v>133</v>
      </c>
    </row>
    <row r="78" spans="1:17">
      <c r="A78" t="s">
        <v>77</v>
      </c>
      <c r="B78">
        <v>114000</v>
      </c>
      <c r="C78">
        <v>112000</v>
      </c>
      <c r="E78" s="1">
        <f t="shared" si="10"/>
        <v>226000</v>
      </c>
      <c r="F78" s="3">
        <v>0.65</v>
      </c>
      <c r="G78" s="2">
        <f t="shared" si="11"/>
        <v>146900</v>
      </c>
      <c r="H78" s="2">
        <f t="shared" si="12"/>
        <v>9035020</v>
      </c>
      <c r="I78" s="2">
        <f t="shared" si="3"/>
        <v>5523670</v>
      </c>
      <c r="J78" s="1">
        <f t="shared" si="4"/>
        <v>200000</v>
      </c>
      <c r="K78">
        <f t="shared" si="9"/>
        <v>99000</v>
      </c>
      <c r="L78" s="2">
        <f t="shared" si="7"/>
        <v>57.814848484848483</v>
      </c>
      <c r="M78" s="2"/>
      <c r="N78" t="s">
        <v>77</v>
      </c>
      <c r="O78" s="2" t="s">
        <v>132</v>
      </c>
      <c r="P78" s="6">
        <f t="shared" si="8"/>
        <v>8.5</v>
      </c>
      <c r="Q78" s="6" t="s">
        <v>133</v>
      </c>
    </row>
    <row r="79" spans="1:17">
      <c r="A79" t="s">
        <v>78</v>
      </c>
      <c r="B79">
        <v>118000</v>
      </c>
      <c r="C79">
        <v>114000</v>
      </c>
      <c r="E79" s="1">
        <f t="shared" si="10"/>
        <v>232000</v>
      </c>
      <c r="F79" s="3">
        <v>0.65</v>
      </c>
      <c r="G79" s="2">
        <f t="shared" si="11"/>
        <v>150800</v>
      </c>
      <c r="H79" s="2">
        <f t="shared" si="12"/>
        <v>9185820</v>
      </c>
      <c r="I79" s="2">
        <f t="shared" si="3"/>
        <v>5674470</v>
      </c>
      <c r="J79" s="1">
        <f t="shared" si="4"/>
        <v>200000</v>
      </c>
      <c r="K79">
        <f t="shared" si="9"/>
        <v>99000</v>
      </c>
      <c r="L79" s="2">
        <f t="shared" si="7"/>
        <v>59.338080808080811</v>
      </c>
      <c r="M79" s="2"/>
      <c r="N79" t="s">
        <v>78</v>
      </c>
      <c r="O79" s="2" t="s">
        <v>132</v>
      </c>
      <c r="P79" s="6">
        <f t="shared" si="8"/>
        <v>8.5</v>
      </c>
      <c r="Q79" s="6" t="s">
        <v>133</v>
      </c>
    </row>
    <row r="80" spans="1:17">
      <c r="A80" t="s">
        <v>79</v>
      </c>
      <c r="B80">
        <v>118000</v>
      </c>
      <c r="C80">
        <v>114000</v>
      </c>
      <c r="E80" s="1">
        <f t="shared" si="10"/>
        <v>232000</v>
      </c>
      <c r="F80" s="3">
        <v>0.65</v>
      </c>
      <c r="G80" s="2">
        <f t="shared" si="11"/>
        <v>150800</v>
      </c>
      <c r="H80" s="2">
        <f t="shared" si="12"/>
        <v>9336620</v>
      </c>
      <c r="I80" s="2">
        <f t="shared" si="3"/>
        <v>5825270</v>
      </c>
      <c r="J80" s="1">
        <f t="shared" si="4"/>
        <v>200000</v>
      </c>
      <c r="K80">
        <f t="shared" si="9"/>
        <v>99000</v>
      </c>
      <c r="L80" s="2">
        <f t="shared" si="7"/>
        <v>60.861313131313132</v>
      </c>
      <c r="M80" s="2"/>
      <c r="N80" t="s">
        <v>79</v>
      </c>
      <c r="O80" s="2" t="s">
        <v>132</v>
      </c>
      <c r="P80" s="6">
        <f t="shared" si="8"/>
        <v>8.5</v>
      </c>
      <c r="Q80" s="6" t="s">
        <v>133</v>
      </c>
    </row>
    <row r="81" spans="1:17">
      <c r="A81" t="s">
        <v>80</v>
      </c>
      <c r="B81">
        <v>117000</v>
      </c>
      <c r="C81">
        <v>113000</v>
      </c>
      <c r="E81" s="1">
        <f t="shared" si="10"/>
        <v>230000</v>
      </c>
      <c r="F81" s="3">
        <v>0.65</v>
      </c>
      <c r="G81" s="2">
        <f t="shared" si="11"/>
        <v>149500</v>
      </c>
      <c r="H81" s="2">
        <f t="shared" si="12"/>
        <v>9486120</v>
      </c>
      <c r="I81" s="2">
        <f t="shared" si="3"/>
        <v>5974770</v>
      </c>
      <c r="J81" s="1">
        <f t="shared" si="4"/>
        <v>200000</v>
      </c>
      <c r="K81">
        <f t="shared" si="9"/>
        <v>99000</v>
      </c>
      <c r="L81" s="2">
        <f t="shared" si="7"/>
        <v>62.371414141414142</v>
      </c>
      <c r="M81" s="2"/>
      <c r="N81" t="s">
        <v>80</v>
      </c>
      <c r="O81" s="2" t="s">
        <v>132</v>
      </c>
      <c r="P81" s="6">
        <f t="shared" si="8"/>
        <v>9</v>
      </c>
      <c r="Q81" s="6" t="s">
        <v>133</v>
      </c>
    </row>
    <row r="82" spans="1:17">
      <c r="A82" t="s">
        <v>81</v>
      </c>
      <c r="B82">
        <v>115000</v>
      </c>
      <c r="C82">
        <v>112000</v>
      </c>
      <c r="E82" s="1">
        <f t="shared" si="10"/>
        <v>227000</v>
      </c>
      <c r="F82" s="3">
        <v>0.65</v>
      </c>
      <c r="G82" s="2">
        <f t="shared" si="11"/>
        <v>147550</v>
      </c>
      <c r="H82" s="2">
        <f t="shared" si="12"/>
        <v>9633670</v>
      </c>
      <c r="I82" s="2">
        <f t="shared" si="3"/>
        <v>6122320</v>
      </c>
      <c r="J82" s="1">
        <f t="shared" si="4"/>
        <v>200000</v>
      </c>
      <c r="K82">
        <f t="shared" si="9"/>
        <v>99000</v>
      </c>
      <c r="L82" s="2">
        <f t="shared" si="7"/>
        <v>63.86181818181818</v>
      </c>
      <c r="M82" s="2"/>
      <c r="N82" t="s">
        <v>81</v>
      </c>
      <c r="O82" s="2" t="s">
        <v>132</v>
      </c>
      <c r="P82" s="6">
        <f t="shared" si="8"/>
        <v>9</v>
      </c>
      <c r="Q82" s="6" t="s">
        <v>133</v>
      </c>
    </row>
    <row r="83" spans="1:17">
      <c r="A83" t="s">
        <v>82</v>
      </c>
      <c r="B83">
        <v>115000</v>
      </c>
      <c r="C83">
        <v>111000</v>
      </c>
      <c r="E83" s="1">
        <f t="shared" si="10"/>
        <v>226000</v>
      </c>
      <c r="F83" s="3">
        <v>0.65</v>
      </c>
      <c r="G83" s="2">
        <f t="shared" si="11"/>
        <v>146900</v>
      </c>
      <c r="H83" s="2">
        <f t="shared" si="12"/>
        <v>9780570</v>
      </c>
      <c r="I83" s="2">
        <f t="shared" si="3"/>
        <v>6269220</v>
      </c>
      <c r="J83" s="1">
        <f t="shared" si="4"/>
        <v>200000</v>
      </c>
      <c r="K83">
        <f t="shared" si="9"/>
        <v>99000</v>
      </c>
      <c r="L83" s="2">
        <f t="shared" si="7"/>
        <v>65.345656565656569</v>
      </c>
      <c r="M83" s="2"/>
      <c r="N83" t="s">
        <v>82</v>
      </c>
      <c r="O83" s="2" t="s">
        <v>132</v>
      </c>
      <c r="P83" s="6">
        <f t="shared" si="8"/>
        <v>9.5</v>
      </c>
      <c r="Q83" s="6" t="s">
        <v>133</v>
      </c>
    </row>
    <row r="84" spans="1:17">
      <c r="A84" t="s">
        <v>83</v>
      </c>
      <c r="B84">
        <v>111000</v>
      </c>
      <c r="C84">
        <v>108000</v>
      </c>
      <c r="E84" s="1">
        <f t="shared" si="10"/>
        <v>219000</v>
      </c>
      <c r="F84" s="3">
        <v>0.65</v>
      </c>
      <c r="G84" s="2">
        <f t="shared" si="11"/>
        <v>142350</v>
      </c>
      <c r="H84" s="2">
        <f t="shared" si="12"/>
        <v>9922920</v>
      </c>
      <c r="I84" s="2">
        <f t="shared" si="3"/>
        <v>6411570</v>
      </c>
      <c r="J84" s="1">
        <f t="shared" si="4"/>
        <v>200000</v>
      </c>
      <c r="K84">
        <f t="shared" si="9"/>
        <v>99000</v>
      </c>
      <c r="L84" s="2">
        <f t="shared" si="7"/>
        <v>66.783535353535356</v>
      </c>
      <c r="M84" s="2"/>
      <c r="N84" t="s">
        <v>83</v>
      </c>
      <c r="O84" s="2" t="s">
        <v>132</v>
      </c>
      <c r="P84" s="6">
        <f t="shared" si="8"/>
        <v>9.5</v>
      </c>
      <c r="Q84" s="6" t="s">
        <v>133</v>
      </c>
    </row>
    <row r="85" spans="1:17">
      <c r="A85" t="s">
        <v>84</v>
      </c>
      <c r="B85">
        <v>111000</v>
      </c>
      <c r="C85">
        <v>107000</v>
      </c>
      <c r="E85" s="1">
        <f t="shared" si="10"/>
        <v>218000</v>
      </c>
      <c r="F85" s="3">
        <v>0.6</v>
      </c>
      <c r="G85" s="2">
        <f t="shared" si="11"/>
        <v>130800</v>
      </c>
      <c r="H85" s="2">
        <f t="shared" si="12"/>
        <v>10053720</v>
      </c>
      <c r="I85" s="2">
        <f t="shared" si="3"/>
        <v>6542370</v>
      </c>
      <c r="J85" s="1">
        <f t="shared" si="4"/>
        <v>200000</v>
      </c>
      <c r="K85">
        <f t="shared" si="9"/>
        <v>99000</v>
      </c>
      <c r="L85" s="2">
        <f t="shared" si="7"/>
        <v>68.104747474747469</v>
      </c>
      <c r="M85" s="2"/>
      <c r="N85" t="s">
        <v>84</v>
      </c>
      <c r="O85" s="2" t="s">
        <v>132</v>
      </c>
      <c r="P85" s="6">
        <f t="shared" si="8"/>
        <v>9.5</v>
      </c>
      <c r="Q85" s="6" t="s">
        <v>133</v>
      </c>
    </row>
    <row r="86" spans="1:17">
      <c r="A86" t="s">
        <v>85</v>
      </c>
      <c r="B86">
        <v>110000</v>
      </c>
      <c r="C86">
        <v>108000</v>
      </c>
      <c r="E86" s="1">
        <f t="shared" si="10"/>
        <v>218000</v>
      </c>
      <c r="F86" s="3">
        <v>0.6</v>
      </c>
      <c r="G86" s="2">
        <f t="shared" si="11"/>
        <v>130800</v>
      </c>
      <c r="H86" s="2">
        <f t="shared" si="12"/>
        <v>10184520</v>
      </c>
      <c r="I86" s="2">
        <f t="shared" si="3"/>
        <v>6673170</v>
      </c>
      <c r="J86" s="1">
        <f t="shared" si="4"/>
        <v>200000</v>
      </c>
      <c r="K86">
        <f t="shared" si="9"/>
        <v>99000</v>
      </c>
      <c r="L86" s="2">
        <f t="shared" si="7"/>
        <v>69.425959595959597</v>
      </c>
      <c r="M86" s="2"/>
      <c r="N86" t="s">
        <v>85</v>
      </c>
      <c r="O86" s="2" t="s">
        <v>132</v>
      </c>
      <c r="P86" s="6">
        <f t="shared" si="8"/>
        <v>10</v>
      </c>
      <c r="Q86" s="6" t="s">
        <v>133</v>
      </c>
    </row>
    <row r="87" spans="1:17">
      <c r="A87" t="s">
        <v>86</v>
      </c>
      <c r="B87">
        <v>113000</v>
      </c>
      <c r="C87">
        <v>110000</v>
      </c>
      <c r="E87" s="1">
        <f t="shared" si="10"/>
        <v>223000</v>
      </c>
      <c r="F87" s="3">
        <v>0.6</v>
      </c>
      <c r="G87" s="2">
        <f t="shared" si="11"/>
        <v>133800</v>
      </c>
      <c r="H87" s="2">
        <f t="shared" si="12"/>
        <v>10318320</v>
      </c>
      <c r="I87" s="2">
        <f t="shared" si="3"/>
        <v>6806970</v>
      </c>
      <c r="J87" s="1">
        <f t="shared" si="4"/>
        <v>200000</v>
      </c>
      <c r="K87">
        <f t="shared" si="9"/>
        <v>99000</v>
      </c>
      <c r="L87" s="2">
        <f t="shared" si="7"/>
        <v>70.777474747474741</v>
      </c>
      <c r="M87" s="2"/>
      <c r="N87" t="s">
        <v>86</v>
      </c>
      <c r="O87" s="2" t="s">
        <v>132</v>
      </c>
      <c r="P87" s="6">
        <f t="shared" si="8"/>
        <v>10</v>
      </c>
      <c r="Q87" s="6" t="s">
        <v>133</v>
      </c>
    </row>
    <row r="88" spans="1:17">
      <c r="A88" t="s">
        <v>87</v>
      </c>
      <c r="B88">
        <v>114000</v>
      </c>
      <c r="C88">
        <v>110000</v>
      </c>
      <c r="E88" s="1">
        <f t="shared" si="10"/>
        <v>224000</v>
      </c>
      <c r="F88" s="3">
        <v>0.6</v>
      </c>
      <c r="G88" s="2">
        <f t="shared" si="11"/>
        <v>134400</v>
      </c>
      <c r="H88" s="2">
        <f t="shared" si="12"/>
        <v>10452720</v>
      </c>
      <c r="I88" s="2">
        <f t="shared" si="3"/>
        <v>6941370</v>
      </c>
      <c r="J88" s="1">
        <f t="shared" si="4"/>
        <v>200000</v>
      </c>
      <c r="K88">
        <f t="shared" si="9"/>
        <v>99000</v>
      </c>
      <c r="L88" s="2">
        <f t="shared" si="7"/>
        <v>72.135050505050501</v>
      </c>
      <c r="M88" s="2"/>
      <c r="N88" t="s">
        <v>87</v>
      </c>
      <c r="O88" s="2" t="s">
        <v>132</v>
      </c>
      <c r="P88" s="6">
        <f t="shared" si="8"/>
        <v>10.5</v>
      </c>
      <c r="Q88" s="6" t="s">
        <v>133</v>
      </c>
    </row>
    <row r="89" spans="1:17">
      <c r="A89" t="s">
        <v>88</v>
      </c>
      <c r="B89">
        <v>116000</v>
      </c>
      <c r="C89">
        <v>112000</v>
      </c>
      <c r="E89" s="1">
        <f t="shared" si="10"/>
        <v>228000</v>
      </c>
      <c r="F89" s="3">
        <v>0.6</v>
      </c>
      <c r="G89" s="2">
        <f t="shared" si="11"/>
        <v>136800</v>
      </c>
      <c r="H89" s="2">
        <f t="shared" si="12"/>
        <v>10589520</v>
      </c>
      <c r="I89" s="2">
        <f t="shared" si="3"/>
        <v>7078170</v>
      </c>
      <c r="J89" s="1">
        <f t="shared" si="4"/>
        <v>200000</v>
      </c>
      <c r="K89">
        <f t="shared" si="9"/>
        <v>99000</v>
      </c>
      <c r="L89" s="2">
        <f t="shared" si="7"/>
        <v>73.51686868686869</v>
      </c>
      <c r="M89" s="2"/>
      <c r="N89" t="s">
        <v>88</v>
      </c>
      <c r="O89" s="2" t="s">
        <v>132</v>
      </c>
      <c r="P89" s="6">
        <f t="shared" si="8"/>
        <v>10.5</v>
      </c>
      <c r="Q89" s="6" t="s">
        <v>133</v>
      </c>
    </row>
    <row r="90" spans="1:17">
      <c r="A90" t="s">
        <v>89</v>
      </c>
      <c r="B90">
        <v>111000</v>
      </c>
      <c r="C90">
        <v>107000</v>
      </c>
      <c r="E90" s="1">
        <f t="shared" si="10"/>
        <v>218000</v>
      </c>
      <c r="F90" s="3">
        <v>0.6</v>
      </c>
      <c r="G90" s="2">
        <f t="shared" si="11"/>
        <v>130800</v>
      </c>
      <c r="H90" s="2">
        <f t="shared" si="12"/>
        <v>10720320</v>
      </c>
      <c r="I90" s="2">
        <f t="shared" si="3"/>
        <v>7208970</v>
      </c>
      <c r="J90" s="1">
        <f t="shared" si="4"/>
        <v>200000</v>
      </c>
      <c r="K90">
        <f t="shared" si="9"/>
        <v>99000</v>
      </c>
      <c r="L90" s="2">
        <f t="shared" si="7"/>
        <v>74.838080808080804</v>
      </c>
      <c r="M90" s="2"/>
      <c r="N90" t="s">
        <v>89</v>
      </c>
      <c r="O90" s="2" t="s">
        <v>132</v>
      </c>
      <c r="P90" s="6">
        <f t="shared" si="8"/>
        <v>10.5</v>
      </c>
      <c r="Q90" s="6" t="s">
        <v>133</v>
      </c>
    </row>
    <row r="91" spans="1:17">
      <c r="A91" t="s">
        <v>90</v>
      </c>
      <c r="B91">
        <v>108000</v>
      </c>
      <c r="C91">
        <v>103000</v>
      </c>
      <c r="E91" s="1">
        <f t="shared" si="10"/>
        <v>211000</v>
      </c>
      <c r="F91" s="3">
        <v>0.6</v>
      </c>
      <c r="G91" s="2">
        <f t="shared" si="11"/>
        <v>126600</v>
      </c>
      <c r="H91" s="2">
        <f t="shared" si="12"/>
        <v>10846920</v>
      </c>
      <c r="I91" s="2">
        <f t="shared" si="3"/>
        <v>7335570</v>
      </c>
      <c r="J91" s="1">
        <f t="shared" si="4"/>
        <v>200000</v>
      </c>
      <c r="K91">
        <f t="shared" si="9"/>
        <v>99000</v>
      </c>
      <c r="L91" s="2">
        <f t="shared" si="7"/>
        <v>76.116868686868685</v>
      </c>
      <c r="M91" s="2"/>
      <c r="N91" t="s">
        <v>90</v>
      </c>
      <c r="O91" s="2" t="s">
        <v>132</v>
      </c>
      <c r="P91" s="6">
        <f t="shared" si="8"/>
        <v>11</v>
      </c>
      <c r="Q91" s="6" t="s">
        <v>133</v>
      </c>
    </row>
    <row r="92" spans="1:17">
      <c r="A92" t="s">
        <v>91</v>
      </c>
      <c r="B92">
        <v>106000</v>
      </c>
      <c r="C92">
        <v>101000</v>
      </c>
      <c r="E92" s="1">
        <f t="shared" si="10"/>
        <v>207000</v>
      </c>
      <c r="F92" s="3">
        <v>0</v>
      </c>
      <c r="G92" s="2">
        <f t="shared" si="11"/>
        <v>0</v>
      </c>
      <c r="H92" s="2">
        <f t="shared" si="12"/>
        <v>10846920</v>
      </c>
      <c r="I92" s="2"/>
      <c r="L92" s="2"/>
      <c r="M92" s="2"/>
      <c r="N92" t="s">
        <v>91</v>
      </c>
      <c r="O92" s="2"/>
    </row>
    <row r="93" spans="1:17">
      <c r="A93" t="s">
        <v>92</v>
      </c>
      <c r="B93">
        <v>102000</v>
      </c>
      <c r="C93">
        <v>98000</v>
      </c>
      <c r="E93" s="1">
        <f t="shared" si="10"/>
        <v>200000</v>
      </c>
      <c r="F93" s="3">
        <v>0</v>
      </c>
      <c r="G93" s="2">
        <f t="shared" si="11"/>
        <v>0</v>
      </c>
      <c r="H93" s="2">
        <f t="shared" si="12"/>
        <v>10846920</v>
      </c>
      <c r="I93" s="2"/>
      <c r="L93" s="2"/>
      <c r="M93" s="2"/>
      <c r="N93" t="s">
        <v>92</v>
      </c>
      <c r="O93" s="2"/>
    </row>
    <row r="94" spans="1:17">
      <c r="A94" t="s">
        <v>93</v>
      </c>
      <c r="B94">
        <v>99000</v>
      </c>
      <c r="C94">
        <v>94000</v>
      </c>
      <c r="E94" s="1">
        <f t="shared" si="10"/>
        <v>193000</v>
      </c>
      <c r="F94" s="3">
        <v>0</v>
      </c>
      <c r="G94" s="2">
        <f t="shared" si="11"/>
        <v>0</v>
      </c>
      <c r="H94" s="2">
        <f t="shared" si="12"/>
        <v>10846920</v>
      </c>
      <c r="I94" s="2"/>
      <c r="L94" s="2"/>
      <c r="M94" s="2"/>
      <c r="N94" t="s">
        <v>93</v>
      </c>
      <c r="O94" s="2"/>
    </row>
    <row r="95" spans="1:17">
      <c r="A95" t="s">
        <v>94</v>
      </c>
      <c r="B95">
        <v>98000</v>
      </c>
      <c r="C95">
        <v>93000</v>
      </c>
      <c r="E95" s="1">
        <f t="shared" si="10"/>
        <v>191000</v>
      </c>
      <c r="F95" s="3">
        <v>0</v>
      </c>
      <c r="G95" s="2">
        <f t="shared" si="11"/>
        <v>0</v>
      </c>
      <c r="H95" s="2">
        <f t="shared" si="12"/>
        <v>10846920</v>
      </c>
      <c r="I95" s="2"/>
      <c r="L95" s="2"/>
      <c r="M95" s="2"/>
      <c r="N95" t="s">
        <v>94</v>
      </c>
      <c r="O95" s="2"/>
    </row>
    <row r="96" spans="1:17">
      <c r="A96" t="s">
        <v>95</v>
      </c>
      <c r="B96">
        <v>96000</v>
      </c>
      <c r="C96">
        <v>92000</v>
      </c>
      <c r="E96" s="1">
        <f t="shared" si="10"/>
        <v>188000</v>
      </c>
      <c r="F96" s="3">
        <v>0</v>
      </c>
      <c r="G96" s="2">
        <f t="shared" si="11"/>
        <v>0</v>
      </c>
      <c r="H96" s="2">
        <f t="shared" si="12"/>
        <v>10846920</v>
      </c>
      <c r="I96" s="2"/>
      <c r="L96" s="2"/>
      <c r="M96" s="2"/>
      <c r="N96" t="s">
        <v>95</v>
      </c>
      <c r="O96" s="2"/>
    </row>
    <row r="97" spans="1:15">
      <c r="A97" t="s">
        <v>96</v>
      </c>
      <c r="B97">
        <v>98000</v>
      </c>
      <c r="C97">
        <v>93000</v>
      </c>
      <c r="E97" s="1">
        <f t="shared" si="10"/>
        <v>191000</v>
      </c>
      <c r="F97" s="3">
        <v>0</v>
      </c>
      <c r="G97" s="2">
        <f t="shared" si="11"/>
        <v>0</v>
      </c>
      <c r="H97" s="2">
        <f t="shared" si="12"/>
        <v>10846920</v>
      </c>
      <c r="I97" s="2"/>
      <c r="L97" s="2"/>
      <c r="M97" s="2"/>
      <c r="N97" t="s">
        <v>96</v>
      </c>
      <c r="O97" s="2"/>
    </row>
    <row r="98" spans="1:15">
      <c r="A98" t="s">
        <v>97</v>
      </c>
      <c r="B98">
        <v>98000</v>
      </c>
      <c r="C98">
        <v>93000</v>
      </c>
      <c r="E98" s="1">
        <f t="shared" si="10"/>
        <v>191000</v>
      </c>
      <c r="F98" s="3">
        <v>0</v>
      </c>
      <c r="G98" s="2">
        <f t="shared" si="11"/>
        <v>0</v>
      </c>
      <c r="H98" s="2">
        <f t="shared" si="12"/>
        <v>10846920</v>
      </c>
      <c r="I98" s="2"/>
      <c r="L98" s="2"/>
      <c r="M98" s="2"/>
      <c r="N98" t="s">
        <v>97</v>
      </c>
      <c r="O98" s="2"/>
    </row>
    <row r="99" spans="1:15">
      <c r="A99" t="s">
        <v>98</v>
      </c>
      <c r="B99">
        <v>97000</v>
      </c>
      <c r="C99">
        <v>93000</v>
      </c>
      <c r="E99" s="1">
        <f t="shared" si="10"/>
        <v>190000</v>
      </c>
      <c r="F99" s="3">
        <v>0</v>
      </c>
      <c r="G99" s="2">
        <f t="shared" si="11"/>
        <v>0</v>
      </c>
      <c r="H99" s="2">
        <f t="shared" si="12"/>
        <v>10846920</v>
      </c>
      <c r="I99" s="2"/>
      <c r="L99" s="2"/>
      <c r="M99" s="2"/>
      <c r="N99" t="s">
        <v>98</v>
      </c>
      <c r="O99" s="2"/>
    </row>
    <row r="100" spans="1:15">
      <c r="A100" t="s">
        <v>99</v>
      </c>
      <c r="B100">
        <v>95000</v>
      </c>
      <c r="C100">
        <v>90000</v>
      </c>
      <c r="E100" s="1">
        <f t="shared" si="10"/>
        <v>185000</v>
      </c>
      <c r="F100" s="3">
        <v>0</v>
      </c>
      <c r="G100" s="2">
        <f t="shared" si="11"/>
        <v>0</v>
      </c>
      <c r="H100" s="2">
        <f t="shared" si="12"/>
        <v>10846920</v>
      </c>
      <c r="I100" s="2"/>
      <c r="L100" s="2"/>
      <c r="M100" s="2"/>
      <c r="N100" t="s">
        <v>99</v>
      </c>
      <c r="O100" s="2"/>
    </row>
    <row r="101" spans="1:15">
      <c r="A101" t="s">
        <v>100</v>
      </c>
      <c r="B101">
        <v>93000</v>
      </c>
      <c r="C101">
        <v>89000</v>
      </c>
      <c r="E101" s="1">
        <f t="shared" si="10"/>
        <v>182000</v>
      </c>
      <c r="F101" s="3">
        <v>0</v>
      </c>
      <c r="G101" s="2">
        <f t="shared" si="11"/>
        <v>0</v>
      </c>
      <c r="H101" s="2">
        <f t="shared" si="12"/>
        <v>10846920</v>
      </c>
      <c r="I101" s="2"/>
      <c r="L101" s="2"/>
      <c r="M101" s="2"/>
      <c r="N101" t="s">
        <v>100</v>
      </c>
      <c r="O101" s="2"/>
    </row>
    <row r="102" spans="1:15">
      <c r="A102" t="s">
        <v>101</v>
      </c>
      <c r="B102">
        <v>91000</v>
      </c>
      <c r="C102">
        <v>86000</v>
      </c>
      <c r="E102" s="1">
        <f t="shared" si="10"/>
        <v>177000</v>
      </c>
      <c r="F102" s="3">
        <v>0</v>
      </c>
      <c r="G102" s="2">
        <f t="shared" si="11"/>
        <v>0</v>
      </c>
      <c r="H102" s="2">
        <f t="shared" si="12"/>
        <v>10846920</v>
      </c>
      <c r="I102" s="2"/>
      <c r="L102" s="2"/>
      <c r="M102" s="2"/>
      <c r="N102" t="s">
        <v>101</v>
      </c>
      <c r="O102" s="2"/>
    </row>
    <row r="103" spans="1:15">
      <c r="A103" t="s">
        <v>102</v>
      </c>
      <c r="B103">
        <v>92000</v>
      </c>
      <c r="C103">
        <v>88000</v>
      </c>
      <c r="E103" s="1">
        <f t="shared" si="10"/>
        <v>180000</v>
      </c>
      <c r="F103" s="3">
        <v>0</v>
      </c>
      <c r="G103" s="2">
        <f t="shared" si="11"/>
        <v>0</v>
      </c>
      <c r="H103" s="2">
        <f t="shared" si="12"/>
        <v>10846920</v>
      </c>
      <c r="I103" s="2"/>
      <c r="L103" s="2"/>
      <c r="M103" s="2"/>
      <c r="N103" t="s">
        <v>102</v>
      </c>
      <c r="O103" s="2"/>
    </row>
    <row r="104" spans="1:15">
      <c r="A104" t="s">
        <v>103</v>
      </c>
      <c r="B104">
        <v>90000</v>
      </c>
      <c r="C104">
        <v>85000</v>
      </c>
      <c r="E104" s="1">
        <f t="shared" si="10"/>
        <v>175000</v>
      </c>
      <c r="F104" s="3">
        <v>0</v>
      </c>
      <c r="G104" s="2">
        <f t="shared" si="11"/>
        <v>0</v>
      </c>
      <c r="H104" s="2">
        <f t="shared" si="12"/>
        <v>10846920</v>
      </c>
      <c r="I104" s="2"/>
      <c r="L104" s="2"/>
      <c r="M104" s="2"/>
      <c r="N104" t="s">
        <v>103</v>
      </c>
      <c r="O104" s="2"/>
    </row>
    <row r="105" spans="1:15">
      <c r="A105" t="s">
        <v>104</v>
      </c>
      <c r="B105">
        <v>90000</v>
      </c>
      <c r="C105">
        <v>86000</v>
      </c>
      <c r="E105" s="1">
        <f t="shared" si="10"/>
        <v>176000</v>
      </c>
      <c r="F105" s="3">
        <v>0</v>
      </c>
      <c r="G105" s="2">
        <f t="shared" si="11"/>
        <v>0</v>
      </c>
      <c r="H105" s="2">
        <f t="shared" si="12"/>
        <v>10846920</v>
      </c>
      <c r="I105" s="2"/>
      <c r="L105" s="2"/>
      <c r="M105" s="2"/>
      <c r="N105" t="s">
        <v>104</v>
      </c>
      <c r="O105" s="2"/>
    </row>
    <row r="106" spans="1:15">
      <c r="A106" t="s">
        <v>105</v>
      </c>
      <c r="B106">
        <v>89000</v>
      </c>
      <c r="C106">
        <v>84000</v>
      </c>
      <c r="E106" s="1">
        <f t="shared" si="10"/>
        <v>173000</v>
      </c>
      <c r="F106" s="3">
        <v>0</v>
      </c>
      <c r="G106" s="2">
        <f t="shared" si="11"/>
        <v>0</v>
      </c>
      <c r="H106" s="2">
        <f t="shared" si="12"/>
        <v>10846920</v>
      </c>
      <c r="I106" s="2"/>
      <c r="L106" s="2"/>
      <c r="M106" s="2"/>
      <c r="N106" t="s">
        <v>105</v>
      </c>
      <c r="O106" s="2"/>
    </row>
    <row r="107" spans="1:15">
      <c r="A107" t="s">
        <v>106</v>
      </c>
      <c r="B107">
        <v>87000</v>
      </c>
      <c r="C107">
        <v>83000</v>
      </c>
      <c r="E107" s="1">
        <f t="shared" si="10"/>
        <v>170000</v>
      </c>
      <c r="F107" s="3">
        <v>0</v>
      </c>
      <c r="G107" s="2">
        <f t="shared" si="11"/>
        <v>0</v>
      </c>
      <c r="H107" s="2">
        <f t="shared" si="12"/>
        <v>10846920</v>
      </c>
      <c r="I107" s="2"/>
      <c r="L107" s="2"/>
      <c r="M107" s="2"/>
      <c r="N107" t="s">
        <v>106</v>
      </c>
      <c r="O107" s="2"/>
    </row>
    <row r="108" spans="1:15">
      <c r="A108" t="s">
        <v>107</v>
      </c>
      <c r="B108">
        <v>87000</v>
      </c>
      <c r="C108">
        <v>83000</v>
      </c>
      <c r="E108" s="1">
        <f t="shared" si="10"/>
        <v>170000</v>
      </c>
      <c r="F108" s="3">
        <v>0</v>
      </c>
      <c r="G108" s="2">
        <f t="shared" si="11"/>
        <v>0</v>
      </c>
      <c r="H108" s="2">
        <f t="shared" si="12"/>
        <v>10846920</v>
      </c>
      <c r="I108" s="2"/>
      <c r="L108" s="2"/>
      <c r="M108" s="2"/>
      <c r="N108" t="s">
        <v>107</v>
      </c>
      <c r="O108" s="2"/>
    </row>
    <row r="109" spans="1:15">
      <c r="A109" t="s">
        <v>108</v>
      </c>
      <c r="B109">
        <v>86000</v>
      </c>
      <c r="C109">
        <v>82000</v>
      </c>
      <c r="E109" s="1">
        <f t="shared" si="10"/>
        <v>168000</v>
      </c>
      <c r="F109" s="3">
        <v>0</v>
      </c>
      <c r="G109" s="2">
        <f t="shared" si="11"/>
        <v>0</v>
      </c>
      <c r="H109" s="2">
        <f t="shared" si="12"/>
        <v>10846920</v>
      </c>
      <c r="I109" s="2"/>
      <c r="L109" s="2"/>
      <c r="M109" s="2"/>
      <c r="N109" t="s">
        <v>108</v>
      </c>
      <c r="O109" s="2"/>
    </row>
    <row r="112" spans="1:15">
      <c r="A112" t="s">
        <v>112</v>
      </c>
      <c r="N112" t="s">
        <v>112</v>
      </c>
    </row>
    <row r="113" spans="1:14">
      <c r="A113" t="s">
        <v>113</v>
      </c>
      <c r="D113" t="s">
        <v>114</v>
      </c>
      <c r="N113" t="s">
        <v>113</v>
      </c>
    </row>
    <row r="114" spans="1:14">
      <c r="A114" t="s">
        <v>115</v>
      </c>
      <c r="N114" t="s">
        <v>115</v>
      </c>
    </row>
    <row r="115" spans="1:14">
      <c r="A115" t="s">
        <v>116</v>
      </c>
      <c r="D115" s="5" t="s">
        <v>117</v>
      </c>
      <c r="N115" t="s">
        <v>116</v>
      </c>
    </row>
    <row r="116" spans="1:14">
      <c r="A116" t="s">
        <v>119</v>
      </c>
      <c r="D116" s="5" t="s">
        <v>118</v>
      </c>
      <c r="N116" t="s">
        <v>119</v>
      </c>
    </row>
  </sheetData>
  <hyperlinks>
    <hyperlink ref="D115" r:id="rId1"/>
    <hyperlink ref="D116" r:id="rId2"/>
  </hyperlinks>
  <pageMargins left="0.7" right="0.7" top="0.75" bottom="0.75" header="0.3" footer="0.3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Leeftijdsopbouw Nederland 2021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Windows-gebruiker</cp:lastModifiedBy>
  <dcterms:created xsi:type="dcterms:W3CDTF">2021-04-09T20:03:53Z</dcterms:created>
  <dcterms:modified xsi:type="dcterms:W3CDTF">2021-04-18T21:34:00Z</dcterms:modified>
</cp:coreProperties>
</file>