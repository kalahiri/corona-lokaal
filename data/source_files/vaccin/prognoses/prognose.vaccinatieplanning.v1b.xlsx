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20" windowWidth="18180" windowHeight="7840"/>
  </bookViews>
  <sheets>
    <sheet name="Leeftijdsopbouw Nederland 2021 " sheetId="1" r:id="rId1"/>
    <sheet name="kladblok" sheetId="2" r:id="rId2"/>
  </sheets>
  <calcPr calcId="125725"/>
</workbook>
</file>

<file path=xl/calcChain.xml><?xml version="1.0" encoding="utf-8"?>
<calcChain xmlns="http://schemas.openxmlformats.org/spreadsheetml/2006/main">
  <c r="M57" i="1"/>
  <c r="M58"/>
  <c r="M59"/>
  <c r="M60"/>
  <c r="M56"/>
  <c r="M51"/>
  <c r="M52"/>
  <c r="M53"/>
  <c r="M54"/>
  <c r="M55"/>
  <c r="M50"/>
  <c r="L50"/>
  <c r="M82"/>
  <c r="M83"/>
  <c r="M84"/>
  <c r="M85"/>
  <c r="M86"/>
  <c r="M87"/>
  <c r="M88"/>
  <c r="M89"/>
  <c r="M90"/>
  <c r="M91"/>
  <c r="M92"/>
  <c r="M75"/>
  <c r="M76"/>
  <c r="M77"/>
  <c r="M78"/>
  <c r="M79"/>
  <c r="M80"/>
  <c r="M81"/>
  <c r="M68"/>
  <c r="M69"/>
  <c r="M70"/>
  <c r="M71"/>
  <c r="M72"/>
  <c r="M73"/>
  <c r="M74"/>
  <c r="M67"/>
  <c r="M62"/>
  <c r="M63"/>
  <c r="M64"/>
  <c r="M65"/>
  <c r="M66"/>
  <c r="M61"/>
  <c r="M44"/>
  <c r="M45"/>
  <c r="M46"/>
  <c r="M47"/>
  <c r="M48"/>
  <c r="M49"/>
  <c r="M42"/>
  <c r="M43"/>
  <c r="J18" i="2"/>
  <c r="H18"/>
  <c r="H20"/>
  <c r="J3" i="1"/>
  <c r="B14" i="2"/>
  <c r="S48" i="1"/>
  <c r="V40"/>
  <c r="X40" s="1"/>
  <c r="E5"/>
  <c r="G5" s="1"/>
  <c r="E6"/>
  <c r="G6" s="1"/>
  <c r="E7"/>
  <c r="G7" s="1"/>
  <c r="E8"/>
  <c r="G8" s="1"/>
  <c r="E9"/>
  <c r="G9" s="1"/>
  <c r="E10"/>
  <c r="G10" s="1"/>
  <c r="E11"/>
  <c r="G11" s="1"/>
  <c r="E12"/>
  <c r="G12" s="1"/>
  <c r="E13"/>
  <c r="G13" s="1"/>
  <c r="E14"/>
  <c r="G14" s="1"/>
  <c r="E15"/>
  <c r="G15" s="1"/>
  <c r="E16"/>
  <c r="G16" s="1"/>
  <c r="E17"/>
  <c r="G17" s="1"/>
  <c r="E18"/>
  <c r="G18" s="1"/>
  <c r="E19"/>
  <c r="G19" s="1"/>
  <c r="E20"/>
  <c r="G20" s="1"/>
  <c r="E21"/>
  <c r="G21" s="1"/>
  <c r="E22"/>
  <c r="G22" s="1"/>
  <c r="E23"/>
  <c r="G23" s="1"/>
  <c r="E24"/>
  <c r="G24" s="1"/>
  <c r="E25"/>
  <c r="G25" s="1"/>
  <c r="E26"/>
  <c r="G26" s="1"/>
  <c r="E27"/>
  <c r="G27" s="1"/>
  <c r="E28"/>
  <c r="G28" s="1"/>
  <c r="E29"/>
  <c r="G29" s="1"/>
  <c r="E30"/>
  <c r="G30" s="1"/>
  <c r="E31"/>
  <c r="G31" s="1"/>
  <c r="E32"/>
  <c r="G32" s="1"/>
  <c r="E33"/>
  <c r="G33" s="1"/>
  <c r="E34"/>
  <c r="G34" s="1"/>
  <c r="E35"/>
  <c r="G35" s="1"/>
  <c r="E36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H44" s="1"/>
  <c r="E45"/>
  <c r="G45" s="1"/>
  <c r="H45" s="1"/>
  <c r="E46"/>
  <c r="G46" s="1"/>
  <c r="H46" s="1"/>
  <c r="E47"/>
  <c r="G47" s="1"/>
  <c r="H47" s="1"/>
  <c r="E48"/>
  <c r="G48" s="1"/>
  <c r="H48" s="1"/>
  <c r="E49"/>
  <c r="G49" s="1"/>
  <c r="H49" s="1"/>
  <c r="E50"/>
  <c r="G50" s="1"/>
  <c r="I50" s="1"/>
  <c r="E52"/>
  <c r="G52" s="1"/>
  <c r="H52" s="1"/>
  <c r="E53"/>
  <c r="G53" s="1"/>
  <c r="H53" s="1"/>
  <c r="E54"/>
  <c r="G54" s="1"/>
  <c r="I54" s="1"/>
  <c r="E55"/>
  <c r="G55" s="1"/>
  <c r="H55" s="1"/>
  <c r="E56"/>
  <c r="G56" s="1"/>
  <c r="I56" s="1"/>
  <c r="E57"/>
  <c r="G57" s="1"/>
  <c r="I57" s="1"/>
  <c r="E58"/>
  <c r="G58" s="1"/>
  <c r="H58" s="1"/>
  <c r="E59"/>
  <c r="G59" s="1"/>
  <c r="H59" s="1"/>
  <c r="E60"/>
  <c r="G60" s="1"/>
  <c r="I60" s="1"/>
  <c r="E61"/>
  <c r="G61" s="1"/>
  <c r="H61" s="1"/>
  <c r="E62"/>
  <c r="G62" s="1"/>
  <c r="I62" s="1"/>
  <c r="E63"/>
  <c r="G63" s="1"/>
  <c r="I63" s="1"/>
  <c r="E64"/>
  <c r="G64" s="1"/>
  <c r="H64" s="1"/>
  <c r="E65"/>
  <c r="G65" s="1"/>
  <c r="H65" s="1"/>
  <c r="E66"/>
  <c r="G66" s="1"/>
  <c r="I66" s="1"/>
  <c r="E67"/>
  <c r="G67" s="1"/>
  <c r="H67" s="1"/>
  <c r="E68"/>
  <c r="G68" s="1"/>
  <c r="I68" s="1"/>
  <c r="E69"/>
  <c r="G69" s="1"/>
  <c r="I69" s="1"/>
  <c r="E70"/>
  <c r="G70" s="1"/>
  <c r="H70" s="1"/>
  <c r="E71"/>
  <c r="G71" s="1"/>
  <c r="H71" s="1"/>
  <c r="E72"/>
  <c r="G72" s="1"/>
  <c r="I72" s="1"/>
  <c r="E73"/>
  <c r="G73" s="1"/>
  <c r="H73" s="1"/>
  <c r="E74"/>
  <c r="G74" s="1"/>
  <c r="I74" s="1"/>
  <c r="E75"/>
  <c r="G75" s="1"/>
  <c r="I75" s="1"/>
  <c r="E76"/>
  <c r="G76" s="1"/>
  <c r="H76" s="1"/>
  <c r="E77"/>
  <c r="G77" s="1"/>
  <c r="H77" s="1"/>
  <c r="E78"/>
  <c r="G78" s="1"/>
  <c r="I78" s="1"/>
  <c r="E79"/>
  <c r="G79" s="1"/>
  <c r="H79" s="1"/>
  <c r="E80"/>
  <c r="G80" s="1"/>
  <c r="I80" s="1"/>
  <c r="E81"/>
  <c r="G81" s="1"/>
  <c r="I81" s="1"/>
  <c r="E82"/>
  <c r="G82" s="1"/>
  <c r="H82" s="1"/>
  <c r="E83"/>
  <c r="G83" s="1"/>
  <c r="H83" s="1"/>
  <c r="E84"/>
  <c r="G84" s="1"/>
  <c r="I84" s="1"/>
  <c r="E85"/>
  <c r="G85" s="1"/>
  <c r="H85" s="1"/>
  <c r="E86"/>
  <c r="G86" s="1"/>
  <c r="I86" s="1"/>
  <c r="E87"/>
  <c r="G87" s="1"/>
  <c r="I87" s="1"/>
  <c r="E88"/>
  <c r="G88" s="1"/>
  <c r="H88" s="1"/>
  <c r="E89"/>
  <c r="G89" s="1"/>
  <c r="H89" s="1"/>
  <c r="E90"/>
  <c r="G90" s="1"/>
  <c r="I90" s="1"/>
  <c r="E91"/>
  <c r="G91" s="1"/>
  <c r="H91" s="1"/>
  <c r="E92"/>
  <c r="G92" s="1"/>
  <c r="I92" s="1"/>
  <c r="E93"/>
  <c r="G93" s="1"/>
  <c r="E94"/>
  <c r="G94" s="1"/>
  <c r="E95"/>
  <c r="G95" s="1"/>
  <c r="E96"/>
  <c r="G96" s="1"/>
  <c r="E97"/>
  <c r="G97" s="1"/>
  <c r="E98"/>
  <c r="G98" s="1"/>
  <c r="E99"/>
  <c r="G99" s="1"/>
  <c r="E100"/>
  <c r="G100" s="1"/>
  <c r="E101"/>
  <c r="G101" s="1"/>
  <c r="E102"/>
  <c r="G102" s="1"/>
  <c r="E103"/>
  <c r="G103" s="1"/>
  <c r="E104"/>
  <c r="G104" s="1"/>
  <c r="E105"/>
  <c r="G105" s="1"/>
  <c r="E106"/>
  <c r="G106" s="1"/>
  <c r="E107"/>
  <c r="G107" s="1"/>
  <c r="E108"/>
  <c r="G108" s="1"/>
  <c r="E109"/>
  <c r="G109" s="1"/>
  <c r="E110"/>
  <c r="G110" s="1"/>
  <c r="E4"/>
  <c r="H54" l="1"/>
  <c r="H84"/>
  <c r="H90"/>
  <c r="H60"/>
  <c r="H66"/>
  <c r="H72"/>
  <c r="H78"/>
  <c r="H68"/>
  <c r="H92"/>
  <c r="H74"/>
  <c r="H56"/>
  <c r="I88"/>
  <c r="I70"/>
  <c r="I52"/>
  <c r="H80"/>
  <c r="H62"/>
  <c r="I76"/>
  <c r="I58"/>
  <c r="I82"/>
  <c r="H86"/>
  <c r="I64"/>
  <c r="H87"/>
  <c r="H81"/>
  <c r="H75"/>
  <c r="H69"/>
  <c r="H63"/>
  <c r="H57"/>
  <c r="H50"/>
  <c r="I89"/>
  <c r="I83"/>
  <c r="I77"/>
  <c r="I71"/>
  <c r="I65"/>
  <c r="I59"/>
  <c r="I53"/>
  <c r="I91"/>
  <c r="I85"/>
  <c r="I79"/>
  <c r="I73"/>
  <c r="I67"/>
  <c r="I61"/>
  <c r="I55"/>
  <c r="G4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l="1"/>
  <c r="H94"/>
  <c r="J40" l="1"/>
  <c r="J41" s="1"/>
  <c r="J42" s="1"/>
  <c r="J43" l="1"/>
  <c r="J44" s="1"/>
  <c r="N42"/>
  <c r="L43" l="1"/>
  <c r="N43" s="1"/>
  <c r="J45"/>
  <c r="L44" l="1"/>
  <c r="N44" s="1"/>
  <c r="J46"/>
  <c r="J47" s="1"/>
  <c r="J48" s="1"/>
  <c r="J49" s="1"/>
  <c r="J50" l="1"/>
  <c r="J51" s="1"/>
  <c r="L45"/>
  <c r="N45" s="1"/>
  <c r="J52" l="1"/>
  <c r="K51"/>
  <c r="L51" s="1"/>
  <c r="L46"/>
  <c r="N46" s="1"/>
  <c r="J53" l="1"/>
  <c r="K52"/>
  <c r="L52" s="1"/>
  <c r="L47"/>
  <c r="N47" s="1"/>
  <c r="K53" l="1"/>
  <c r="L53" s="1"/>
  <c r="J54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L48"/>
  <c r="N48" s="1"/>
  <c r="L49" l="1"/>
  <c r="N49" s="1"/>
  <c r="N51" l="1"/>
  <c r="N50" l="1"/>
  <c r="N52" l="1"/>
  <c r="Q52" s="1"/>
  <c r="N53" l="1"/>
  <c r="Q53" s="1"/>
  <c r="K54" l="1"/>
  <c r="L54" s="1"/>
  <c r="N54" s="1"/>
  <c r="Q54" s="1"/>
  <c r="K55" l="1"/>
  <c r="L55" s="1"/>
  <c r="N55" s="1"/>
  <c r="Q55" s="1"/>
  <c r="K56" l="1"/>
  <c r="L56" s="1"/>
  <c r="N56" s="1"/>
  <c r="Q56" s="1"/>
  <c r="K57" l="1"/>
  <c r="L57" s="1"/>
  <c r="N57" s="1"/>
  <c r="Q57" s="1"/>
  <c r="K58" l="1"/>
  <c r="L58" s="1"/>
  <c r="N58" s="1"/>
  <c r="Q58" s="1"/>
  <c r="K59" l="1"/>
  <c r="L59" s="1"/>
  <c r="N59" s="1"/>
  <c r="Q59" s="1"/>
  <c r="K60" l="1"/>
  <c r="L60" s="1"/>
  <c r="N60" s="1"/>
  <c r="Q60" s="1"/>
  <c r="K61" l="1"/>
  <c r="L61" s="1"/>
  <c r="N61" s="1"/>
  <c r="Q61" s="1"/>
  <c r="K62" l="1"/>
  <c r="L62" s="1"/>
  <c r="N62" s="1"/>
  <c r="Q62" s="1"/>
  <c r="K63" l="1"/>
  <c r="L63" s="1"/>
  <c r="N63" s="1"/>
  <c r="Q63" s="1"/>
  <c r="K64" l="1"/>
  <c r="L64" s="1"/>
  <c r="N64" s="1"/>
  <c r="Q64" s="1"/>
  <c r="K65" l="1"/>
  <c r="L65" s="1"/>
  <c r="N65" s="1"/>
  <c r="Q65" s="1"/>
  <c r="K66" l="1"/>
  <c r="L66" s="1"/>
  <c r="N66" s="1"/>
  <c r="Q66" s="1"/>
  <c r="K67" l="1"/>
  <c r="L67" s="1"/>
  <c r="N67" s="1"/>
  <c r="Q67" s="1"/>
  <c r="K68" l="1"/>
  <c r="L68" s="1"/>
  <c r="N68" s="1"/>
  <c r="Q68" s="1"/>
  <c r="K69" l="1"/>
  <c r="L69" s="1"/>
  <c r="N69" s="1"/>
  <c r="Q69" s="1"/>
  <c r="K70" l="1"/>
  <c r="L70" s="1"/>
  <c r="N70" s="1"/>
  <c r="Q70" s="1"/>
  <c r="K71" l="1"/>
  <c r="L71" s="1"/>
  <c r="N71" s="1"/>
  <c r="Q71" s="1"/>
  <c r="K72" l="1"/>
  <c r="L72" s="1"/>
  <c r="N72" s="1"/>
  <c r="Q72" s="1"/>
  <c r="K73" l="1"/>
  <c r="L73" s="1"/>
  <c r="N73" s="1"/>
  <c r="Q73" s="1"/>
  <c r="K74" l="1"/>
  <c r="L74" s="1"/>
  <c r="N74" s="1"/>
  <c r="Q74" s="1"/>
  <c r="K75" l="1"/>
  <c r="L75" s="1"/>
  <c r="N75" s="1"/>
  <c r="Q75" s="1"/>
  <c r="K76" l="1"/>
  <c r="L76" s="1"/>
  <c r="N76" s="1"/>
  <c r="Q76" s="1"/>
  <c r="K77" l="1"/>
  <c r="L77" s="1"/>
  <c r="N77" s="1"/>
  <c r="Q77" s="1"/>
  <c r="K78" l="1"/>
  <c r="L78" s="1"/>
  <c r="N78" s="1"/>
  <c r="Q78" s="1"/>
  <c r="K79" l="1"/>
  <c r="L79" s="1"/>
  <c r="N79" s="1"/>
  <c r="Q79" s="1"/>
  <c r="K80" l="1"/>
  <c r="L80" s="1"/>
  <c r="N80" s="1"/>
  <c r="Q80" s="1"/>
  <c r="K81" l="1"/>
  <c r="L81" s="1"/>
  <c r="N81" s="1"/>
  <c r="Q81" s="1"/>
  <c r="K82" l="1"/>
  <c r="L82" s="1"/>
  <c r="N82" s="1"/>
  <c r="Q82" s="1"/>
  <c r="K83" l="1"/>
  <c r="L83" s="1"/>
  <c r="N83" s="1"/>
  <c r="Q83" s="1"/>
  <c r="K84" l="1"/>
  <c r="L84" s="1"/>
  <c r="N84" s="1"/>
  <c r="Q84" s="1"/>
  <c r="K85" l="1"/>
  <c r="L85" s="1"/>
  <c r="N85" s="1"/>
  <c r="Q85" s="1"/>
  <c r="K86" l="1"/>
  <c r="L86" s="1"/>
  <c r="N86" s="1"/>
  <c r="Q86" s="1"/>
  <c r="K87" l="1"/>
  <c r="L87" s="1"/>
  <c r="N87" s="1"/>
  <c r="Q87" s="1"/>
  <c r="K88" l="1"/>
  <c r="L88" s="1"/>
  <c r="N88" s="1"/>
  <c r="Q88" s="1"/>
  <c r="I94"/>
  <c r="K89" l="1"/>
  <c r="L89" s="1"/>
  <c r="N89" s="1"/>
  <c r="Q89" s="1"/>
  <c r="K90" l="1"/>
  <c r="L90" s="1"/>
  <c r="N90" s="1"/>
  <c r="Q90" s="1"/>
  <c r="K91" l="1"/>
  <c r="L91" s="1"/>
  <c r="N91" s="1"/>
  <c r="Q91" s="1"/>
  <c r="K92" l="1"/>
  <c r="L92" s="1"/>
  <c r="N92" s="1"/>
  <c r="Q92" s="1"/>
</calcChain>
</file>

<file path=xl/sharedStrings.xml><?xml version="1.0" encoding="utf-8"?>
<sst xmlns="http://schemas.openxmlformats.org/spreadsheetml/2006/main" count="320" uniqueCount="141">
  <si>
    <t>Leeftijd</t>
  </si>
  <si>
    <t>Mannen</t>
  </si>
  <si>
    <t>Vrouwen</t>
  </si>
  <si>
    <t>105 jaarofouder</t>
  </si>
  <si>
    <t>104 jaar</t>
  </si>
  <si>
    <t>103 jaar</t>
  </si>
  <si>
    <t>102 jaar</t>
  </si>
  <si>
    <t>101 jaar</t>
  </si>
  <si>
    <t>100 jaar</t>
  </si>
  <si>
    <t>99 jaar</t>
  </si>
  <si>
    <t>98 jaar</t>
  </si>
  <si>
    <t>97 jaar</t>
  </si>
  <si>
    <t>96 jaar</t>
  </si>
  <si>
    <t>95 jaar</t>
  </si>
  <si>
    <t>94 jaar</t>
  </si>
  <si>
    <t>93 jaar</t>
  </si>
  <si>
    <t>92 jaar</t>
  </si>
  <si>
    <t>91 jaar</t>
  </si>
  <si>
    <t>90 jaar</t>
  </si>
  <si>
    <t>89 jaar</t>
  </si>
  <si>
    <t>88 jaar</t>
  </si>
  <si>
    <t>87 jaar</t>
  </si>
  <si>
    <t>86 jaar</t>
  </si>
  <si>
    <t>85 jaar</t>
  </si>
  <si>
    <t>84 jaar</t>
  </si>
  <si>
    <t>83 jaar</t>
  </si>
  <si>
    <t>82 jaar</t>
  </si>
  <si>
    <t>81 jaar</t>
  </si>
  <si>
    <t>80 jaar</t>
  </si>
  <si>
    <t>79 jaar</t>
  </si>
  <si>
    <t>78 jaar</t>
  </si>
  <si>
    <t>77 jaar</t>
  </si>
  <si>
    <t>76 jaar</t>
  </si>
  <si>
    <t>75 jaar</t>
  </si>
  <si>
    <t>74 jaar</t>
  </si>
  <si>
    <t>73 jaar</t>
  </si>
  <si>
    <t>72 jaar</t>
  </si>
  <si>
    <t>71 jaar</t>
  </si>
  <si>
    <t>70 jaar</t>
  </si>
  <si>
    <t>69 jaar</t>
  </si>
  <si>
    <t>68 jaar</t>
  </si>
  <si>
    <t>67 jaar</t>
  </si>
  <si>
    <t>66 jaar</t>
  </si>
  <si>
    <t>65 jaar</t>
  </si>
  <si>
    <t>64 jaar</t>
  </si>
  <si>
    <t>63 jaar</t>
  </si>
  <si>
    <t>62 jaar</t>
  </si>
  <si>
    <t>61 jaar</t>
  </si>
  <si>
    <t>60 jaar</t>
  </si>
  <si>
    <t>59 jaar</t>
  </si>
  <si>
    <t>58 jaar</t>
  </si>
  <si>
    <t>57 jaar</t>
  </si>
  <si>
    <t>56 jaar</t>
  </si>
  <si>
    <t>55 jaar</t>
  </si>
  <si>
    <t>54 jaar</t>
  </si>
  <si>
    <t>53 jaar</t>
  </si>
  <si>
    <t>52 jaar</t>
  </si>
  <si>
    <t>51 jaar</t>
  </si>
  <si>
    <t>50 jaar</t>
  </si>
  <si>
    <t>49 jaar</t>
  </si>
  <si>
    <t>48 jaar</t>
  </si>
  <si>
    <t>47 jaar</t>
  </si>
  <si>
    <t>46 jaar</t>
  </si>
  <si>
    <t>45 jaar</t>
  </si>
  <si>
    <t>44 jaar</t>
  </si>
  <si>
    <t>43 jaar</t>
  </si>
  <si>
    <t>42 jaar</t>
  </si>
  <si>
    <t>41 jaar</t>
  </si>
  <si>
    <t>40 jaar</t>
  </si>
  <si>
    <t>39 jaar</t>
  </si>
  <si>
    <t>38 jaar</t>
  </si>
  <si>
    <t>37 jaar</t>
  </si>
  <si>
    <t>36 jaar</t>
  </si>
  <si>
    <t>35 jaar</t>
  </si>
  <si>
    <t>34 jaar</t>
  </si>
  <si>
    <t>33 jaar</t>
  </si>
  <si>
    <t>32 jaar</t>
  </si>
  <si>
    <t>31 jaar</t>
  </si>
  <si>
    <t>30 jaar</t>
  </si>
  <si>
    <t>29 jaar</t>
  </si>
  <si>
    <t>28 jaar</t>
  </si>
  <si>
    <t>27 jaar</t>
  </si>
  <si>
    <t>26 jaar</t>
  </si>
  <si>
    <t>25 jaar</t>
  </si>
  <si>
    <t>24 jaar</t>
  </si>
  <si>
    <t>23 jaar</t>
  </si>
  <si>
    <t>22 jaar</t>
  </si>
  <si>
    <t>21 jaar</t>
  </si>
  <si>
    <t>20 jaar</t>
  </si>
  <si>
    <t>19 jaar</t>
  </si>
  <si>
    <t>18 jaar</t>
  </si>
  <si>
    <t>17 jaar</t>
  </si>
  <si>
    <t>16 jaar</t>
  </si>
  <si>
    <t>15 jaar</t>
  </si>
  <si>
    <t>14 jaar</t>
  </si>
  <si>
    <t>13 jaar</t>
  </si>
  <si>
    <t>12 jaar</t>
  </si>
  <si>
    <t>11 jaar</t>
  </si>
  <si>
    <t>10 jaar</t>
  </si>
  <si>
    <t>9 jaar</t>
  </si>
  <si>
    <t>8 jaar</t>
  </si>
  <si>
    <t>7 jaar</t>
  </si>
  <si>
    <t>6 jaar</t>
  </si>
  <si>
    <t>5 jaar</t>
  </si>
  <si>
    <t>4 jaar</t>
  </si>
  <si>
    <t>3 jaar</t>
  </si>
  <si>
    <t>2 jaar</t>
  </si>
  <si>
    <t>1 jaar</t>
  </si>
  <si>
    <t>0 jaar</t>
  </si>
  <si>
    <t>Totaal</t>
  </si>
  <si>
    <t>vaccinatiegraad</t>
  </si>
  <si>
    <t>netto vaccin-kandidaten</t>
  </si>
  <si>
    <t>Links:</t>
  </si>
  <si>
    <t>Bevolkingsopbouw</t>
  </si>
  <si>
    <t>https://www.cbs.nl/nl-nl/visualisaties/dashboard-bevolking/bevolkingspiramide</t>
  </si>
  <si>
    <t>Vaccinatiebereidheid:</t>
  </si>
  <si>
    <t>Vaccinatieplanning:</t>
  </si>
  <si>
    <t>https://www.rijksoverheid.nl/onderwerpen/coronavirus-vaccinatie/volgorde-van-vaccinatie-tegen-het-coronavirus/volgorde-vaccinatie-voor-mensen-die-niet-in-de-zorg-werken</t>
  </si>
  <si>
    <t>https://www.rijksoverheid.nl/documenten/kaarten/2021/03/23/factsheet-vaccinatieplanning</t>
  </si>
  <si>
    <t>Vaccinatieplanning 2:</t>
  </si>
  <si>
    <t>tenminste één prik</t>
  </si>
  <si>
    <t>cumulatief vaccin-kandidaten</t>
  </si>
  <si>
    <t>tempo</t>
  </si>
  <si>
    <t>nu bezig</t>
  </si>
  <si>
    <t>over</t>
  </si>
  <si>
    <t>weken</t>
  </si>
  <si>
    <t>Ruwe inschatting vaccinatieplanning</t>
  </si>
  <si>
    <t>voorkruipers</t>
  </si>
  <si>
    <t>risicogroepen</t>
  </si>
  <si>
    <t>percentage risicogroep</t>
  </si>
  <si>
    <t>netto</t>
  </si>
  <si>
    <t>Voorkruipers</t>
  </si>
  <si>
    <t>percentage voorkruipers</t>
  </si>
  <si>
    <t>&lt;&lt;&lt;</t>
  </si>
  <si>
    <t>Nog te gaan</t>
  </si>
  <si>
    <t>priktempo 1e prik</t>
  </si>
  <si>
    <t>stand 4 mei</t>
  </si>
  <si>
    <t>Wanneer mag je bellen voor een vaccinatie?</t>
  </si>
  <si>
    <t>nu</t>
  </si>
  <si>
    <t>risicogroepen 60-</t>
  </si>
  <si>
    <t>deze week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</si>
</sst>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164" fontId="0" fillId="0" borderId="0" xfId="0" quotePrefix="1" applyNumberFormat="1"/>
    <xf numFmtId="0" fontId="18" fillId="0" borderId="0" xfId="43" applyAlignment="1" applyProtection="1"/>
    <xf numFmtId="165" fontId="0" fillId="0" borderId="0" xfId="1" applyNumberFormat="1" applyFont="1"/>
    <xf numFmtId="0" fontId="19" fillId="0" borderId="0" xfId="0" applyFont="1"/>
    <xf numFmtId="10" fontId="0" fillId="0" borderId="0" xfId="44" applyNumberFormat="1" applyFont="1"/>
    <xf numFmtId="166" fontId="0" fillId="0" borderId="0" xfId="0" applyNumberFormat="1"/>
    <xf numFmtId="1" fontId="0" fillId="0" borderId="0" xfId="0" applyNumberFormat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4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ijksoverheid.nl/documenten/kaarten/2021/03/23/factsheet-vaccinatieplanning" TargetMode="External"/><Relationship Id="rId1" Type="http://schemas.openxmlformats.org/officeDocument/2006/relationships/hyperlink" Target="https://www.rijksoverheid.nl/onderwerpen/coronavirus-vaccinatie/volgorde-van-vaccinatie-tegen-het-coronavirus/volgorde-vaccinatie-voor-mensen-die-niet-in-de-zorg-wer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7"/>
  <sheetViews>
    <sheetView tabSelected="1" workbookViewId="0">
      <pane xSplit="1" ySplit="2" topLeftCell="J48" activePane="bottomRight" state="frozen"/>
      <selection pane="topRight" activeCell="B1" sqref="B1"/>
      <selection pane="bottomLeft" activeCell="A3" sqref="A3"/>
      <selection pane="bottomRight" activeCell="V55" sqref="V55"/>
    </sheetView>
  </sheetViews>
  <sheetFormatPr defaultRowHeight="14.5"/>
  <cols>
    <col min="5" max="5" width="13.1796875" style="1" bestFit="1" customWidth="1"/>
    <col min="6" max="6" width="13.81640625" bestFit="1" customWidth="1"/>
    <col min="7" max="7" width="21.08984375" bestFit="1" customWidth="1"/>
    <col min="8" max="10" width="25.54296875" customWidth="1"/>
    <col min="11" max="12" width="10" customWidth="1"/>
    <col min="13" max="13" width="12.7265625" style="1" bestFit="1" customWidth="1"/>
    <col min="14" max="14" width="10.36328125" bestFit="1" customWidth="1"/>
    <col min="16" max="16" width="6.6328125" customWidth="1"/>
    <col min="17" max="17" width="6.54296875" style="6" customWidth="1"/>
    <col min="18" max="18" width="13.54296875" style="6" customWidth="1"/>
  </cols>
  <sheetData>
    <row r="1" spans="1:17">
      <c r="A1" t="s">
        <v>0</v>
      </c>
      <c r="B1" t="s">
        <v>1</v>
      </c>
      <c r="C1" t="s">
        <v>2</v>
      </c>
      <c r="E1" s="1" t="s">
        <v>109</v>
      </c>
      <c r="F1" t="s">
        <v>110</v>
      </c>
      <c r="G1" t="s">
        <v>111</v>
      </c>
      <c r="H1" t="s">
        <v>132</v>
      </c>
      <c r="I1" t="s">
        <v>129</v>
      </c>
      <c r="J1" t="s">
        <v>121</v>
      </c>
      <c r="K1" t="s">
        <v>134</v>
      </c>
      <c r="M1" s="1" t="s">
        <v>135</v>
      </c>
      <c r="O1" t="s">
        <v>0</v>
      </c>
      <c r="Q1" s="6" t="s">
        <v>120</v>
      </c>
    </row>
    <row r="2" spans="1:17">
      <c r="H2" s="9">
        <v>0.123</v>
      </c>
      <c r="I2" s="9">
        <v>0.21</v>
      </c>
      <c r="J2" t="s">
        <v>130</v>
      </c>
      <c r="Q2" s="6" t="s">
        <v>136</v>
      </c>
    </row>
    <row r="3" spans="1:17">
      <c r="A3" t="s">
        <v>127</v>
      </c>
      <c r="G3">
        <v>975000</v>
      </c>
      <c r="J3" s="2">
        <f>G3</f>
        <v>975000</v>
      </c>
    </row>
    <row r="4" spans="1:17">
      <c r="A4" t="s">
        <v>3</v>
      </c>
      <c r="B4">
        <v>0</v>
      </c>
      <c r="C4">
        <v>0</v>
      </c>
      <c r="E4" s="1">
        <f>C4+B4</f>
        <v>0</v>
      </c>
      <c r="F4" s="3">
        <v>0.92</v>
      </c>
      <c r="G4" s="2">
        <f>F4*E4</f>
        <v>0</v>
      </c>
      <c r="H4" s="2"/>
      <c r="I4" s="2"/>
      <c r="J4" s="2">
        <f>G4-H4-I4+J3</f>
        <v>975000</v>
      </c>
      <c r="K4" s="2"/>
      <c r="L4" s="2"/>
      <c r="O4" t="s">
        <v>3</v>
      </c>
      <c r="P4" s="2"/>
    </row>
    <row r="5" spans="1:17">
      <c r="A5" t="s">
        <v>4</v>
      </c>
      <c r="B5">
        <v>0</v>
      </c>
      <c r="C5">
        <v>0</v>
      </c>
      <c r="E5" s="1">
        <f t="shared" ref="E5:E69" si="0">C5+B5</f>
        <v>0</v>
      </c>
      <c r="F5" s="3">
        <v>0.92</v>
      </c>
      <c r="G5" s="2">
        <f t="shared" ref="G5:G69" si="1">F5*E5</f>
        <v>0</v>
      </c>
      <c r="H5" s="2"/>
      <c r="I5" s="2"/>
      <c r="J5" s="2">
        <f t="shared" ref="J5:J68" si="2">G5-H5-I5+J4</f>
        <v>975000</v>
      </c>
      <c r="K5" s="2"/>
      <c r="L5" s="2"/>
      <c r="O5" t="s">
        <v>4</v>
      </c>
      <c r="P5" s="2"/>
    </row>
    <row r="6" spans="1:17">
      <c r="A6" t="s">
        <v>5</v>
      </c>
      <c r="B6">
        <v>0</v>
      </c>
      <c r="C6">
        <v>0</v>
      </c>
      <c r="E6" s="1">
        <f t="shared" si="0"/>
        <v>0</v>
      </c>
      <c r="F6" s="3">
        <v>0.92</v>
      </c>
      <c r="G6" s="2">
        <f t="shared" si="1"/>
        <v>0</v>
      </c>
      <c r="H6" s="2"/>
      <c r="I6" s="2"/>
      <c r="J6" s="2">
        <f t="shared" si="2"/>
        <v>975000</v>
      </c>
      <c r="K6" s="2"/>
      <c r="L6" s="2"/>
      <c r="O6" t="s">
        <v>5</v>
      </c>
      <c r="P6" s="2"/>
    </row>
    <row r="7" spans="1:17">
      <c r="A7" t="s">
        <v>6</v>
      </c>
      <c r="B7">
        <v>0</v>
      </c>
      <c r="C7">
        <v>0</v>
      </c>
      <c r="E7" s="1">
        <f t="shared" si="0"/>
        <v>0</v>
      </c>
      <c r="F7" s="3">
        <v>0.92</v>
      </c>
      <c r="G7" s="2">
        <f t="shared" si="1"/>
        <v>0</v>
      </c>
      <c r="H7" s="2"/>
      <c r="I7" s="2"/>
      <c r="J7" s="2">
        <f t="shared" si="2"/>
        <v>975000</v>
      </c>
      <c r="K7" s="2"/>
      <c r="L7" s="2"/>
      <c r="O7" t="s">
        <v>6</v>
      </c>
      <c r="P7" s="2"/>
    </row>
    <row r="8" spans="1:17">
      <c r="A8" t="s">
        <v>7</v>
      </c>
      <c r="B8">
        <v>0</v>
      </c>
      <c r="C8">
        <v>1000</v>
      </c>
      <c r="E8" s="1">
        <f t="shared" si="0"/>
        <v>1000</v>
      </c>
      <c r="F8" s="3">
        <v>0.92</v>
      </c>
      <c r="G8" s="2">
        <f t="shared" si="1"/>
        <v>920</v>
      </c>
      <c r="H8" s="2"/>
      <c r="I8" s="2"/>
      <c r="J8" s="2">
        <f t="shared" si="2"/>
        <v>975920</v>
      </c>
      <c r="K8" s="2"/>
      <c r="L8" s="2"/>
      <c r="O8" t="s">
        <v>7</v>
      </c>
      <c r="P8" s="2"/>
    </row>
    <row r="9" spans="1:17">
      <c r="A9" t="s">
        <v>8</v>
      </c>
      <c r="B9">
        <v>0</v>
      </c>
      <c r="C9">
        <v>1000</v>
      </c>
      <c r="E9" s="1">
        <f t="shared" si="0"/>
        <v>1000</v>
      </c>
      <c r="F9" s="3">
        <v>0.92</v>
      </c>
      <c r="G9" s="2">
        <f t="shared" si="1"/>
        <v>920</v>
      </c>
      <c r="H9" s="2"/>
      <c r="I9" s="2"/>
      <c r="J9" s="2">
        <f t="shared" si="2"/>
        <v>976840</v>
      </c>
      <c r="K9" s="2"/>
      <c r="L9" s="2"/>
      <c r="O9" t="s">
        <v>8</v>
      </c>
      <c r="P9" s="2"/>
    </row>
    <row r="10" spans="1:17">
      <c r="A10" t="s">
        <v>9</v>
      </c>
      <c r="B10">
        <v>0</v>
      </c>
      <c r="C10">
        <v>2000</v>
      </c>
      <c r="E10" s="1">
        <f t="shared" si="0"/>
        <v>2000</v>
      </c>
      <c r="F10" s="3">
        <v>0.92</v>
      </c>
      <c r="G10" s="2">
        <f t="shared" si="1"/>
        <v>1840</v>
      </c>
      <c r="H10" s="2"/>
      <c r="I10" s="2"/>
      <c r="J10" s="2">
        <f t="shared" si="2"/>
        <v>978680</v>
      </c>
      <c r="K10" s="2"/>
      <c r="L10" s="2"/>
      <c r="O10" t="s">
        <v>9</v>
      </c>
      <c r="P10" s="2"/>
    </row>
    <row r="11" spans="1:17">
      <c r="A11" t="s">
        <v>10</v>
      </c>
      <c r="B11">
        <v>1000</v>
      </c>
      <c r="C11">
        <v>2000</v>
      </c>
      <c r="E11" s="1">
        <f t="shared" si="0"/>
        <v>3000</v>
      </c>
      <c r="F11" s="3">
        <v>0.92</v>
      </c>
      <c r="G11" s="2">
        <f t="shared" si="1"/>
        <v>2760</v>
      </c>
      <c r="H11" s="2"/>
      <c r="I11" s="2"/>
      <c r="J11" s="2">
        <f t="shared" si="2"/>
        <v>981440</v>
      </c>
      <c r="K11" s="2"/>
      <c r="L11" s="2"/>
      <c r="O11" t="s">
        <v>10</v>
      </c>
      <c r="P11" s="2"/>
    </row>
    <row r="12" spans="1:17">
      <c r="A12" t="s">
        <v>11</v>
      </c>
      <c r="B12">
        <v>1000</v>
      </c>
      <c r="C12">
        <v>3000</v>
      </c>
      <c r="E12" s="1">
        <f t="shared" si="0"/>
        <v>4000</v>
      </c>
      <c r="F12" s="3">
        <v>0.92</v>
      </c>
      <c r="G12" s="2">
        <f t="shared" si="1"/>
        <v>3680</v>
      </c>
      <c r="H12" s="2"/>
      <c r="I12" s="2"/>
      <c r="J12" s="2">
        <f t="shared" si="2"/>
        <v>985120</v>
      </c>
      <c r="K12" s="2"/>
      <c r="L12" s="2"/>
      <c r="O12" t="s">
        <v>11</v>
      </c>
      <c r="P12" s="2"/>
    </row>
    <row r="13" spans="1:17">
      <c r="A13" t="s">
        <v>12</v>
      </c>
      <c r="B13">
        <v>1000</v>
      </c>
      <c r="C13">
        <v>5000</v>
      </c>
      <c r="E13" s="1">
        <f t="shared" si="0"/>
        <v>6000</v>
      </c>
      <c r="F13" s="3">
        <v>0.92</v>
      </c>
      <c r="G13" s="2">
        <f t="shared" si="1"/>
        <v>5520</v>
      </c>
      <c r="H13" s="2"/>
      <c r="I13" s="2"/>
      <c r="J13" s="2">
        <f t="shared" si="2"/>
        <v>990640</v>
      </c>
      <c r="K13" s="2"/>
      <c r="L13" s="2"/>
      <c r="O13" t="s">
        <v>12</v>
      </c>
      <c r="P13" s="2"/>
    </row>
    <row r="14" spans="1:17">
      <c r="A14" t="s">
        <v>13</v>
      </c>
      <c r="B14">
        <v>2000</v>
      </c>
      <c r="C14">
        <v>6000</v>
      </c>
      <c r="E14" s="1">
        <f t="shared" si="0"/>
        <v>8000</v>
      </c>
      <c r="F14" s="3">
        <v>0.92</v>
      </c>
      <c r="G14" s="2">
        <f t="shared" si="1"/>
        <v>7360</v>
      </c>
      <c r="H14" s="2"/>
      <c r="I14" s="2"/>
      <c r="J14" s="2">
        <f t="shared" si="2"/>
        <v>998000</v>
      </c>
      <c r="K14" s="2"/>
      <c r="L14" s="2"/>
      <c r="O14" t="s">
        <v>13</v>
      </c>
      <c r="P14" s="2"/>
    </row>
    <row r="15" spans="1:17">
      <c r="A15" t="s">
        <v>14</v>
      </c>
      <c r="B15">
        <v>3000</v>
      </c>
      <c r="C15">
        <v>9000</v>
      </c>
      <c r="E15" s="1">
        <f t="shared" si="0"/>
        <v>12000</v>
      </c>
      <c r="F15" s="3">
        <v>0.92</v>
      </c>
      <c r="G15" s="2">
        <f t="shared" si="1"/>
        <v>11040</v>
      </c>
      <c r="H15" s="2"/>
      <c r="I15" s="2"/>
      <c r="J15" s="2">
        <f t="shared" si="2"/>
        <v>1009040</v>
      </c>
      <c r="K15" s="2"/>
      <c r="L15" s="2"/>
      <c r="O15" t="s">
        <v>14</v>
      </c>
      <c r="P15" s="2"/>
    </row>
    <row r="16" spans="1:17">
      <c r="A16" t="s">
        <v>15</v>
      </c>
      <c r="B16">
        <v>4000</v>
      </c>
      <c r="C16">
        <v>11000</v>
      </c>
      <c r="E16" s="1">
        <f t="shared" si="0"/>
        <v>15000</v>
      </c>
      <c r="F16" s="3">
        <v>0.92</v>
      </c>
      <c r="G16" s="2">
        <f t="shared" si="1"/>
        <v>13800</v>
      </c>
      <c r="H16" s="2"/>
      <c r="I16" s="2"/>
      <c r="J16" s="2">
        <f t="shared" si="2"/>
        <v>1022840</v>
      </c>
      <c r="K16" s="2"/>
      <c r="L16" s="2"/>
      <c r="O16" t="s">
        <v>15</v>
      </c>
      <c r="P16" s="2"/>
    </row>
    <row r="17" spans="1:17">
      <c r="A17" t="s">
        <v>16</v>
      </c>
      <c r="B17">
        <v>6000</v>
      </c>
      <c r="C17">
        <v>14000</v>
      </c>
      <c r="E17" s="1">
        <f t="shared" si="0"/>
        <v>20000</v>
      </c>
      <c r="F17" s="3">
        <v>0.92</v>
      </c>
      <c r="G17" s="2">
        <f t="shared" si="1"/>
        <v>18400</v>
      </c>
      <c r="H17" s="2"/>
      <c r="I17" s="2"/>
      <c r="J17" s="2">
        <f t="shared" si="2"/>
        <v>1041240</v>
      </c>
      <c r="K17" s="2"/>
      <c r="L17" s="2"/>
      <c r="O17" t="s">
        <v>16</v>
      </c>
      <c r="P17" s="2"/>
    </row>
    <row r="18" spans="1:17">
      <c r="A18" t="s">
        <v>17</v>
      </c>
      <c r="B18">
        <v>8000</v>
      </c>
      <c r="C18">
        <v>17000</v>
      </c>
      <c r="E18" s="1">
        <f t="shared" si="0"/>
        <v>25000</v>
      </c>
      <c r="F18" s="3">
        <v>0.92</v>
      </c>
      <c r="G18" s="2">
        <f t="shared" si="1"/>
        <v>23000</v>
      </c>
      <c r="H18" s="2"/>
      <c r="I18" s="2"/>
      <c r="J18" s="2">
        <f t="shared" si="2"/>
        <v>1064240</v>
      </c>
      <c r="K18" s="2"/>
      <c r="L18" s="2"/>
      <c r="O18" t="s">
        <v>17</v>
      </c>
      <c r="P18" s="2"/>
    </row>
    <row r="19" spans="1:17">
      <c r="A19" t="s">
        <v>18</v>
      </c>
      <c r="B19">
        <v>11000</v>
      </c>
      <c r="C19">
        <v>22000</v>
      </c>
      <c r="E19" s="1">
        <f t="shared" si="0"/>
        <v>33000</v>
      </c>
      <c r="F19" s="3">
        <v>0.92</v>
      </c>
      <c r="G19" s="2">
        <f t="shared" si="1"/>
        <v>30360</v>
      </c>
      <c r="H19" s="2"/>
      <c r="I19" s="2"/>
      <c r="J19" s="2">
        <f>G19-H19-I19+J18</f>
        <v>1094600</v>
      </c>
      <c r="K19" s="4"/>
      <c r="L19" s="4"/>
      <c r="O19" t="s">
        <v>18</v>
      </c>
      <c r="P19" s="4"/>
      <c r="Q19" s="6">
        <v>63731</v>
      </c>
    </row>
    <row r="20" spans="1:17">
      <c r="A20" t="s">
        <v>19</v>
      </c>
      <c r="B20">
        <v>13000</v>
      </c>
      <c r="C20">
        <v>25000</v>
      </c>
      <c r="E20" s="1">
        <f t="shared" si="0"/>
        <v>38000</v>
      </c>
      <c r="F20" s="3">
        <v>0.92</v>
      </c>
      <c r="G20" s="2">
        <f t="shared" si="1"/>
        <v>34960</v>
      </c>
      <c r="H20" s="2"/>
      <c r="I20" s="2"/>
      <c r="J20" s="2">
        <f t="shared" si="2"/>
        <v>1129560</v>
      </c>
      <c r="K20" s="2"/>
      <c r="L20" s="2"/>
      <c r="O20" t="s">
        <v>19</v>
      </c>
      <c r="P20" s="2"/>
    </row>
    <row r="21" spans="1:17">
      <c r="A21" t="s">
        <v>20</v>
      </c>
      <c r="B21">
        <v>16000</v>
      </c>
      <c r="C21">
        <v>29000</v>
      </c>
      <c r="E21" s="1">
        <f t="shared" si="0"/>
        <v>45000</v>
      </c>
      <c r="F21" s="3">
        <v>0.92</v>
      </c>
      <c r="G21" s="2">
        <f t="shared" si="1"/>
        <v>41400</v>
      </c>
      <c r="H21" s="2"/>
      <c r="I21" s="2"/>
      <c r="J21" s="2">
        <f t="shared" si="2"/>
        <v>1170960</v>
      </c>
      <c r="K21" s="2"/>
      <c r="L21" s="2"/>
      <c r="O21" t="s">
        <v>20</v>
      </c>
      <c r="P21" s="2"/>
    </row>
    <row r="22" spans="1:17">
      <c r="A22" t="s">
        <v>21</v>
      </c>
      <c r="B22">
        <v>19000</v>
      </c>
      <c r="C22">
        <v>32000</v>
      </c>
      <c r="E22" s="1">
        <f t="shared" si="0"/>
        <v>51000</v>
      </c>
      <c r="F22" s="3">
        <v>0.92</v>
      </c>
      <c r="G22" s="2">
        <f t="shared" si="1"/>
        <v>46920</v>
      </c>
      <c r="H22" s="2"/>
      <c r="I22" s="2"/>
      <c r="J22" s="2">
        <f t="shared" si="2"/>
        <v>1217880</v>
      </c>
      <c r="K22" s="2"/>
      <c r="L22" s="2"/>
      <c r="O22" t="s">
        <v>21</v>
      </c>
      <c r="P22" s="2"/>
    </row>
    <row r="23" spans="1:17">
      <c r="A23" t="s">
        <v>22</v>
      </c>
      <c r="B23">
        <v>23000</v>
      </c>
      <c r="C23">
        <v>36000</v>
      </c>
      <c r="E23" s="1">
        <f t="shared" si="0"/>
        <v>59000</v>
      </c>
      <c r="F23" s="3">
        <v>0.92</v>
      </c>
      <c r="G23" s="2">
        <f t="shared" si="1"/>
        <v>54280</v>
      </c>
      <c r="H23" s="2"/>
      <c r="I23" s="2"/>
      <c r="J23" s="2">
        <f t="shared" si="2"/>
        <v>1272160</v>
      </c>
      <c r="K23" s="2"/>
      <c r="L23" s="2"/>
      <c r="O23" t="s">
        <v>22</v>
      </c>
      <c r="P23" s="2"/>
    </row>
    <row r="24" spans="1:17">
      <c r="A24" t="s">
        <v>23</v>
      </c>
      <c r="B24">
        <v>27000</v>
      </c>
      <c r="C24">
        <v>39000</v>
      </c>
      <c r="E24" s="1">
        <f t="shared" si="0"/>
        <v>66000</v>
      </c>
      <c r="F24" s="3">
        <v>0.92</v>
      </c>
      <c r="G24" s="2">
        <f t="shared" si="1"/>
        <v>60720</v>
      </c>
      <c r="H24" s="2"/>
      <c r="I24" s="2"/>
      <c r="J24" s="2">
        <f t="shared" si="2"/>
        <v>1332880</v>
      </c>
      <c r="K24" s="4"/>
      <c r="L24" s="4"/>
      <c r="O24" t="s">
        <v>23</v>
      </c>
      <c r="P24" s="4"/>
      <c r="Q24" s="6">
        <v>323651</v>
      </c>
    </row>
    <row r="25" spans="1:17">
      <c r="A25" t="s">
        <v>24</v>
      </c>
      <c r="B25">
        <v>30000</v>
      </c>
      <c r="C25">
        <v>43000</v>
      </c>
      <c r="E25" s="1">
        <f t="shared" si="0"/>
        <v>73000</v>
      </c>
      <c r="F25" s="3">
        <v>0.92</v>
      </c>
      <c r="G25" s="2">
        <f t="shared" si="1"/>
        <v>67160</v>
      </c>
      <c r="H25" s="2"/>
      <c r="I25" s="2"/>
      <c r="J25" s="2">
        <f t="shared" si="2"/>
        <v>1400040</v>
      </c>
      <c r="K25" s="2"/>
      <c r="L25" s="2"/>
      <c r="O25" t="s">
        <v>24</v>
      </c>
      <c r="P25" s="2"/>
    </row>
    <row r="26" spans="1:17">
      <c r="A26" t="s">
        <v>25</v>
      </c>
      <c r="B26">
        <v>34000</v>
      </c>
      <c r="C26">
        <v>46000</v>
      </c>
      <c r="E26" s="1">
        <f t="shared" si="0"/>
        <v>80000</v>
      </c>
      <c r="F26" s="3">
        <v>0.92</v>
      </c>
      <c r="G26" s="2">
        <f t="shared" si="1"/>
        <v>73600</v>
      </c>
      <c r="H26" s="2"/>
      <c r="I26" s="2"/>
      <c r="J26" s="2">
        <f t="shared" si="2"/>
        <v>1473640</v>
      </c>
      <c r="K26" s="2"/>
      <c r="L26" s="2"/>
      <c r="O26" t="s">
        <v>25</v>
      </c>
      <c r="P26" s="2"/>
    </row>
    <row r="27" spans="1:17">
      <c r="A27" t="s">
        <v>26</v>
      </c>
      <c r="B27">
        <v>40000</v>
      </c>
      <c r="C27">
        <v>51000</v>
      </c>
      <c r="E27" s="1">
        <f t="shared" si="0"/>
        <v>91000</v>
      </c>
      <c r="F27" s="3">
        <v>0.92</v>
      </c>
      <c r="G27" s="2">
        <f t="shared" si="1"/>
        <v>83720</v>
      </c>
      <c r="H27" s="2"/>
      <c r="I27" s="2"/>
      <c r="J27" s="2">
        <f t="shared" si="2"/>
        <v>1557360</v>
      </c>
      <c r="K27" s="2"/>
      <c r="L27" s="2"/>
      <c r="O27" t="s">
        <v>26</v>
      </c>
      <c r="P27" s="2"/>
    </row>
    <row r="28" spans="1:17">
      <c r="A28" t="s">
        <v>27</v>
      </c>
      <c r="B28">
        <v>44000</v>
      </c>
      <c r="C28">
        <v>55000</v>
      </c>
      <c r="E28" s="1">
        <f t="shared" si="0"/>
        <v>99000</v>
      </c>
      <c r="F28" s="3">
        <v>0.92</v>
      </c>
      <c r="G28" s="2">
        <f t="shared" si="1"/>
        <v>91080</v>
      </c>
      <c r="H28" s="2"/>
      <c r="I28" s="2"/>
      <c r="J28" s="2">
        <f t="shared" si="2"/>
        <v>1648440</v>
      </c>
      <c r="K28" s="2"/>
      <c r="L28" s="2"/>
      <c r="O28" t="s">
        <v>27</v>
      </c>
      <c r="P28" s="2"/>
    </row>
    <row r="29" spans="1:17">
      <c r="A29" t="s">
        <v>28</v>
      </c>
      <c r="B29">
        <v>49000</v>
      </c>
      <c r="C29">
        <v>58000</v>
      </c>
      <c r="E29" s="1">
        <f t="shared" si="0"/>
        <v>107000</v>
      </c>
      <c r="F29" s="3">
        <v>0.92</v>
      </c>
      <c r="G29" s="2">
        <f t="shared" si="1"/>
        <v>98440</v>
      </c>
      <c r="H29" s="2"/>
      <c r="I29" s="2"/>
      <c r="J29" s="2">
        <f t="shared" si="2"/>
        <v>1746880</v>
      </c>
      <c r="K29" s="4"/>
      <c r="L29" s="4"/>
      <c r="O29" t="s">
        <v>28</v>
      </c>
      <c r="P29" s="4"/>
      <c r="Q29" s="6">
        <v>346431</v>
      </c>
    </row>
    <row r="30" spans="1:17">
      <c r="A30" t="s">
        <v>29</v>
      </c>
      <c r="B30">
        <v>50000</v>
      </c>
      <c r="C30">
        <v>59000</v>
      </c>
      <c r="E30" s="1">
        <f t="shared" si="0"/>
        <v>109000</v>
      </c>
      <c r="F30" s="3">
        <v>0.92</v>
      </c>
      <c r="G30" s="2">
        <f t="shared" si="1"/>
        <v>100280</v>
      </c>
      <c r="H30" s="2"/>
      <c r="I30" s="2"/>
      <c r="J30" s="2">
        <f t="shared" si="2"/>
        <v>1847160</v>
      </c>
      <c r="K30" s="2"/>
      <c r="L30" s="2"/>
      <c r="O30" t="s">
        <v>29</v>
      </c>
      <c r="P30" s="2"/>
    </row>
    <row r="31" spans="1:17">
      <c r="A31" t="s">
        <v>30</v>
      </c>
      <c r="B31">
        <v>56000</v>
      </c>
      <c r="C31">
        <v>63000</v>
      </c>
      <c r="E31" s="1">
        <f t="shared" si="0"/>
        <v>119000</v>
      </c>
      <c r="F31" s="3">
        <v>0.92</v>
      </c>
      <c r="G31" s="2">
        <f t="shared" si="1"/>
        <v>109480</v>
      </c>
      <c r="H31" s="2"/>
      <c r="I31" s="2"/>
      <c r="J31" s="2">
        <f t="shared" si="2"/>
        <v>1956640</v>
      </c>
      <c r="K31" s="2"/>
      <c r="L31" s="2"/>
      <c r="O31" t="s">
        <v>30</v>
      </c>
      <c r="P31" s="2"/>
    </row>
    <row r="32" spans="1:17">
      <c r="A32" t="s">
        <v>31</v>
      </c>
      <c r="B32">
        <v>63000</v>
      </c>
      <c r="C32">
        <v>70000</v>
      </c>
      <c r="E32" s="1">
        <f t="shared" si="0"/>
        <v>133000</v>
      </c>
      <c r="F32" s="3">
        <v>0.92</v>
      </c>
      <c r="G32" s="2">
        <f t="shared" si="1"/>
        <v>122360</v>
      </c>
      <c r="H32" s="2"/>
      <c r="I32" s="2"/>
      <c r="J32" s="2">
        <f t="shared" si="2"/>
        <v>2079000</v>
      </c>
      <c r="K32" s="2"/>
      <c r="L32" s="2"/>
      <c r="O32" t="s">
        <v>31</v>
      </c>
      <c r="P32" s="2"/>
    </row>
    <row r="33" spans="1:24">
      <c r="A33" t="s">
        <v>32</v>
      </c>
      <c r="B33">
        <v>68000</v>
      </c>
      <c r="C33">
        <v>75000</v>
      </c>
      <c r="E33" s="1">
        <f t="shared" si="0"/>
        <v>143000</v>
      </c>
      <c r="F33" s="3">
        <v>0.92</v>
      </c>
      <c r="G33" s="2">
        <f t="shared" si="1"/>
        <v>131560</v>
      </c>
      <c r="H33" s="2"/>
      <c r="I33" s="2"/>
      <c r="J33" s="2">
        <f t="shared" si="2"/>
        <v>2210560</v>
      </c>
      <c r="K33" s="2"/>
      <c r="L33" s="2"/>
      <c r="O33" t="s">
        <v>32</v>
      </c>
      <c r="P33" s="2"/>
    </row>
    <row r="34" spans="1:24">
      <c r="A34" t="s">
        <v>33</v>
      </c>
      <c r="B34">
        <v>67000</v>
      </c>
      <c r="C34">
        <v>73000</v>
      </c>
      <c r="E34" s="1">
        <f t="shared" si="0"/>
        <v>140000</v>
      </c>
      <c r="F34" s="3">
        <v>0.92</v>
      </c>
      <c r="G34" s="2">
        <f t="shared" si="1"/>
        <v>128800</v>
      </c>
      <c r="H34" s="2"/>
      <c r="I34" s="2"/>
      <c r="J34" s="2">
        <f t="shared" si="2"/>
        <v>2339360</v>
      </c>
      <c r="K34" s="4"/>
      <c r="L34" s="4"/>
      <c r="O34" t="s">
        <v>33</v>
      </c>
      <c r="P34" s="4"/>
      <c r="Q34" s="6">
        <v>242759</v>
      </c>
    </row>
    <row r="35" spans="1:24">
      <c r="A35" t="s">
        <v>34</v>
      </c>
      <c r="B35">
        <v>98000</v>
      </c>
      <c r="C35">
        <v>104000</v>
      </c>
      <c r="E35" s="1">
        <f t="shared" si="0"/>
        <v>202000</v>
      </c>
      <c r="F35" s="3">
        <v>0.92</v>
      </c>
      <c r="G35" s="2">
        <f t="shared" si="1"/>
        <v>185840</v>
      </c>
      <c r="H35" s="2"/>
      <c r="I35" s="2"/>
      <c r="J35" s="2">
        <f t="shared" si="2"/>
        <v>2525200</v>
      </c>
      <c r="K35" s="2"/>
      <c r="L35" s="2"/>
      <c r="O35" t="s">
        <v>34</v>
      </c>
      <c r="P35" s="2"/>
    </row>
    <row r="36" spans="1:24">
      <c r="A36" t="s">
        <v>35</v>
      </c>
      <c r="B36">
        <v>97000</v>
      </c>
      <c r="C36">
        <v>102000</v>
      </c>
      <c r="E36" s="1">
        <f t="shared" si="0"/>
        <v>199000</v>
      </c>
      <c r="F36" s="3">
        <v>0.92</v>
      </c>
      <c r="G36" s="2">
        <f t="shared" si="1"/>
        <v>183080</v>
      </c>
      <c r="H36" s="2"/>
      <c r="I36" s="2"/>
      <c r="J36" s="2">
        <f t="shared" si="2"/>
        <v>2708280</v>
      </c>
      <c r="K36" s="2"/>
      <c r="L36" s="2"/>
      <c r="O36" t="s">
        <v>35</v>
      </c>
      <c r="P36" s="2"/>
    </row>
    <row r="37" spans="1:24">
      <c r="A37" t="s">
        <v>36</v>
      </c>
      <c r="B37">
        <v>94000</v>
      </c>
      <c r="C37">
        <v>98000</v>
      </c>
      <c r="E37" s="1">
        <f t="shared" si="0"/>
        <v>192000</v>
      </c>
      <c r="F37" s="3">
        <v>0.92</v>
      </c>
      <c r="G37" s="2">
        <f t="shared" si="1"/>
        <v>176640</v>
      </c>
      <c r="H37" s="2"/>
      <c r="I37" s="2"/>
      <c r="J37" s="2">
        <f t="shared" si="2"/>
        <v>2884920</v>
      </c>
      <c r="K37" s="2"/>
      <c r="L37" s="2"/>
      <c r="M37" s="1" t="s">
        <v>133</v>
      </c>
      <c r="O37" t="s">
        <v>36</v>
      </c>
      <c r="P37" s="2"/>
    </row>
    <row r="38" spans="1:24">
      <c r="A38" t="s">
        <v>37</v>
      </c>
      <c r="B38">
        <v>93000</v>
      </c>
      <c r="C38">
        <v>96000</v>
      </c>
      <c r="E38" s="1">
        <f t="shared" si="0"/>
        <v>189000</v>
      </c>
      <c r="F38" s="3">
        <v>0.92</v>
      </c>
      <c r="G38" s="2">
        <f t="shared" si="1"/>
        <v>173880</v>
      </c>
      <c r="H38" s="2"/>
      <c r="I38" s="2"/>
      <c r="J38" s="2">
        <f t="shared" si="2"/>
        <v>3058800</v>
      </c>
      <c r="K38" s="2">
        <v>0</v>
      </c>
      <c r="L38" s="2"/>
      <c r="O38" t="s">
        <v>37</v>
      </c>
      <c r="P38" s="2"/>
    </row>
    <row r="39" spans="1:24">
      <c r="A39" t="s">
        <v>38</v>
      </c>
      <c r="B39">
        <v>93000</v>
      </c>
      <c r="C39">
        <v>96000</v>
      </c>
      <c r="E39" s="1">
        <f t="shared" si="0"/>
        <v>189000</v>
      </c>
      <c r="F39" s="3">
        <v>0.92</v>
      </c>
      <c r="G39" s="2">
        <f t="shared" si="1"/>
        <v>173880</v>
      </c>
      <c r="H39" s="2"/>
      <c r="I39" s="2"/>
      <c r="J39" s="2">
        <f t="shared" si="2"/>
        <v>3232680</v>
      </c>
      <c r="K39" s="2">
        <v>0</v>
      </c>
      <c r="L39" s="2"/>
      <c r="O39" t="s">
        <v>38</v>
      </c>
      <c r="P39" s="4"/>
      <c r="Q39" s="6">
        <v>54790</v>
      </c>
    </row>
    <row r="40" spans="1:24">
      <c r="A40" t="s">
        <v>39</v>
      </c>
      <c r="B40">
        <v>94000</v>
      </c>
      <c r="C40">
        <v>96000</v>
      </c>
      <c r="E40" s="1">
        <f t="shared" si="0"/>
        <v>190000</v>
      </c>
      <c r="F40" s="3">
        <v>0.87</v>
      </c>
      <c r="G40" s="2">
        <f t="shared" si="1"/>
        <v>165300</v>
      </c>
      <c r="H40" s="2"/>
      <c r="I40" s="2"/>
      <c r="J40" s="2">
        <f t="shared" si="2"/>
        <v>3397980</v>
      </c>
      <c r="K40" s="2">
        <v>0</v>
      </c>
      <c r="L40" s="2"/>
      <c r="O40" t="s">
        <v>39</v>
      </c>
      <c r="P40" s="2" t="s">
        <v>123</v>
      </c>
      <c r="V40">
        <f>2021</f>
        <v>2021</v>
      </c>
      <c r="W40">
        <v>1975</v>
      </c>
      <c r="X40">
        <f>V40-W40</f>
        <v>46</v>
      </c>
    </row>
    <row r="41" spans="1:24">
      <c r="A41" t="s">
        <v>40</v>
      </c>
      <c r="B41">
        <v>98000</v>
      </c>
      <c r="C41">
        <v>101000</v>
      </c>
      <c r="E41" s="1">
        <f t="shared" si="0"/>
        <v>199000</v>
      </c>
      <c r="F41" s="3">
        <v>0.87</v>
      </c>
      <c r="G41" s="2">
        <f t="shared" si="1"/>
        <v>173130</v>
      </c>
      <c r="H41" s="2"/>
      <c r="I41" s="2"/>
      <c r="J41" s="2">
        <f t="shared" si="2"/>
        <v>3571110</v>
      </c>
      <c r="K41" s="2">
        <v>0</v>
      </c>
      <c r="L41" s="2"/>
      <c r="O41" t="s">
        <v>40</v>
      </c>
      <c r="P41" s="2" t="s">
        <v>123</v>
      </c>
    </row>
    <row r="42" spans="1:24">
      <c r="A42" t="s">
        <v>41</v>
      </c>
      <c r="B42">
        <v>99000</v>
      </c>
      <c r="C42">
        <v>101000</v>
      </c>
      <c r="E42" s="1">
        <f t="shared" si="0"/>
        <v>200000</v>
      </c>
      <c r="F42" s="3">
        <v>0.87</v>
      </c>
      <c r="G42" s="2">
        <f t="shared" si="1"/>
        <v>174000</v>
      </c>
      <c r="H42" s="2"/>
      <c r="I42" s="2"/>
      <c r="J42" s="2">
        <f t="shared" si="2"/>
        <v>3745110</v>
      </c>
      <c r="K42" s="2">
        <v>0</v>
      </c>
      <c r="L42" s="2"/>
      <c r="M42" s="1">
        <f>110000*0.85</f>
        <v>93500</v>
      </c>
      <c r="N42" s="10">
        <f>K42/M42</f>
        <v>0</v>
      </c>
      <c r="O42" t="s">
        <v>41</v>
      </c>
      <c r="P42" s="2" t="s">
        <v>123</v>
      </c>
    </row>
    <row r="43" spans="1:24">
      <c r="A43" t="s">
        <v>42</v>
      </c>
      <c r="B43">
        <v>102000</v>
      </c>
      <c r="C43">
        <v>103000</v>
      </c>
      <c r="E43" s="1">
        <f t="shared" si="0"/>
        <v>205000</v>
      </c>
      <c r="F43" s="3">
        <v>0.87</v>
      </c>
      <c r="G43" s="2">
        <f t="shared" si="1"/>
        <v>178350</v>
      </c>
      <c r="H43" s="2"/>
      <c r="I43" s="2"/>
      <c r="J43" s="2">
        <f t="shared" si="2"/>
        <v>3923460</v>
      </c>
      <c r="K43" s="2">
        <v>0</v>
      </c>
      <c r="L43" s="2">
        <f>K43-K42</f>
        <v>0</v>
      </c>
      <c r="M43" s="1">
        <f>110000*0.85</f>
        <v>93500</v>
      </c>
      <c r="N43" s="10">
        <f>L43/M43+N42</f>
        <v>0</v>
      </c>
      <c r="O43" t="s">
        <v>42</v>
      </c>
      <c r="P43" s="2" t="s">
        <v>123</v>
      </c>
    </row>
    <row r="44" spans="1:24">
      <c r="A44" t="s">
        <v>43</v>
      </c>
      <c r="B44">
        <v>103000</v>
      </c>
      <c r="C44">
        <v>106000</v>
      </c>
      <c r="E44" s="1">
        <f t="shared" si="0"/>
        <v>209000</v>
      </c>
      <c r="F44" s="3">
        <v>0.87</v>
      </c>
      <c r="G44" s="2">
        <f t="shared" si="1"/>
        <v>181830</v>
      </c>
      <c r="H44" s="2">
        <f>G44*H$2</f>
        <v>22365.09</v>
      </c>
      <c r="I44" s="2"/>
      <c r="J44" s="2">
        <f t="shared" si="2"/>
        <v>4082924.91</v>
      </c>
      <c r="K44" s="2">
        <v>0</v>
      </c>
      <c r="L44" s="2">
        <f t="shared" ref="L44:L92" si="3">K44-K43</f>
        <v>0</v>
      </c>
      <c r="M44" s="1">
        <f t="shared" ref="M44:M49" si="4">110000*0.75</f>
        <v>82500</v>
      </c>
      <c r="N44" s="10">
        <f t="shared" ref="N44:N92" si="5">L44/M44+N43</f>
        <v>0</v>
      </c>
      <c r="O44" t="s">
        <v>43</v>
      </c>
      <c r="P44" s="2" t="s">
        <v>123</v>
      </c>
    </row>
    <row r="45" spans="1:24">
      <c r="A45" t="s">
        <v>44</v>
      </c>
      <c r="B45">
        <v>108000</v>
      </c>
      <c r="C45">
        <v>109000</v>
      </c>
      <c r="E45" s="1">
        <f t="shared" si="0"/>
        <v>217000</v>
      </c>
      <c r="F45" s="3">
        <v>0.87</v>
      </c>
      <c r="G45" s="2">
        <f t="shared" si="1"/>
        <v>188790</v>
      </c>
      <c r="H45" s="2">
        <f t="shared" ref="H45:H92" si="6">G45*H$2</f>
        <v>23221.17</v>
      </c>
      <c r="I45" s="2"/>
      <c r="J45" s="2">
        <f t="shared" si="2"/>
        <v>4248493.74</v>
      </c>
      <c r="K45" s="2">
        <v>0</v>
      </c>
      <c r="L45" s="2">
        <f t="shared" si="3"/>
        <v>0</v>
      </c>
      <c r="M45" s="1">
        <f t="shared" si="4"/>
        <v>82500</v>
      </c>
      <c r="N45" s="10">
        <f t="shared" si="5"/>
        <v>0</v>
      </c>
      <c r="O45" t="s">
        <v>44</v>
      </c>
      <c r="P45" s="2" t="s">
        <v>123</v>
      </c>
    </row>
    <row r="46" spans="1:24">
      <c r="A46" t="s">
        <v>45</v>
      </c>
      <c r="B46">
        <v>110000</v>
      </c>
      <c r="C46">
        <v>111000</v>
      </c>
      <c r="E46" s="1">
        <f t="shared" si="0"/>
        <v>221000</v>
      </c>
      <c r="F46" s="3">
        <v>0.87</v>
      </c>
      <c r="G46" s="2">
        <f t="shared" si="1"/>
        <v>192270</v>
      </c>
      <c r="H46" s="2">
        <f t="shared" si="6"/>
        <v>23649.21</v>
      </c>
      <c r="I46" s="2"/>
      <c r="J46" s="2">
        <f t="shared" si="2"/>
        <v>4417114.53</v>
      </c>
      <c r="K46" s="2">
        <v>0</v>
      </c>
      <c r="L46" s="2">
        <f t="shared" si="3"/>
        <v>0</v>
      </c>
      <c r="M46" s="1">
        <f t="shared" si="4"/>
        <v>82500</v>
      </c>
      <c r="N46" s="10">
        <f t="shared" si="5"/>
        <v>0</v>
      </c>
      <c r="O46" t="s">
        <v>45</v>
      </c>
      <c r="P46" s="2" t="s">
        <v>123</v>
      </c>
    </row>
    <row r="47" spans="1:24">
      <c r="A47" t="s">
        <v>46</v>
      </c>
      <c r="B47">
        <v>113000</v>
      </c>
      <c r="C47">
        <v>114000</v>
      </c>
      <c r="E47" s="1">
        <f t="shared" si="0"/>
        <v>227000</v>
      </c>
      <c r="F47" s="3">
        <v>0.87</v>
      </c>
      <c r="G47" s="2">
        <f t="shared" si="1"/>
        <v>197490</v>
      </c>
      <c r="H47" s="2">
        <f t="shared" si="6"/>
        <v>24291.27</v>
      </c>
      <c r="I47" s="2"/>
      <c r="J47" s="2">
        <f t="shared" si="2"/>
        <v>4590313.2600000007</v>
      </c>
      <c r="K47" s="2">
        <v>0</v>
      </c>
      <c r="L47" s="2">
        <f t="shared" si="3"/>
        <v>0</v>
      </c>
      <c r="M47" s="1">
        <f t="shared" si="4"/>
        <v>82500</v>
      </c>
      <c r="N47" s="10">
        <f t="shared" si="5"/>
        <v>0</v>
      </c>
      <c r="O47" t="s">
        <v>46</v>
      </c>
      <c r="P47" s="2" t="s">
        <v>123</v>
      </c>
      <c r="S47" s="1" t="s">
        <v>122</v>
      </c>
    </row>
    <row r="48" spans="1:24" ht="15.5">
      <c r="A48" t="s">
        <v>47</v>
      </c>
      <c r="B48">
        <v>117000</v>
      </c>
      <c r="C48">
        <v>118000</v>
      </c>
      <c r="E48" s="1">
        <f t="shared" si="0"/>
        <v>235000</v>
      </c>
      <c r="F48" s="3">
        <v>0.87</v>
      </c>
      <c r="G48" s="2">
        <f t="shared" si="1"/>
        <v>204450</v>
      </c>
      <c r="H48" s="2">
        <f t="shared" si="6"/>
        <v>25147.35</v>
      </c>
      <c r="I48" s="2"/>
      <c r="J48" s="2">
        <f t="shared" si="2"/>
        <v>4769615.9100000011</v>
      </c>
      <c r="K48" s="2">
        <v>0</v>
      </c>
      <c r="L48" s="2">
        <f t="shared" si="3"/>
        <v>0</v>
      </c>
      <c r="M48" s="1">
        <f t="shared" si="4"/>
        <v>82500</v>
      </c>
      <c r="N48" s="10">
        <f t="shared" si="5"/>
        <v>0</v>
      </c>
      <c r="O48" s="7" t="s">
        <v>126</v>
      </c>
      <c r="P48" s="2"/>
      <c r="S48" s="1">
        <f>110000*0.75</f>
        <v>82500</v>
      </c>
    </row>
    <row r="49" spans="1:20" ht="15.5">
      <c r="A49" t="s">
        <v>48</v>
      </c>
      <c r="B49">
        <v>119000</v>
      </c>
      <c r="C49">
        <v>119000</v>
      </c>
      <c r="E49" s="1">
        <f t="shared" si="0"/>
        <v>238000</v>
      </c>
      <c r="F49" s="3">
        <v>0.87</v>
      </c>
      <c r="G49" s="2">
        <f t="shared" si="1"/>
        <v>207060</v>
      </c>
      <c r="H49" s="2">
        <f t="shared" si="6"/>
        <v>25468.38</v>
      </c>
      <c r="I49" s="8"/>
      <c r="J49" s="2">
        <f t="shared" si="2"/>
        <v>4951207.5300000012</v>
      </c>
      <c r="K49" s="2">
        <v>0</v>
      </c>
      <c r="L49" s="2">
        <f t="shared" si="3"/>
        <v>0</v>
      </c>
      <c r="M49" s="1">
        <f t="shared" si="4"/>
        <v>82500</v>
      </c>
      <c r="N49" s="10">
        <f t="shared" si="5"/>
        <v>0</v>
      </c>
      <c r="O49" s="7" t="s">
        <v>137</v>
      </c>
      <c r="P49" s="2"/>
    </row>
    <row r="50" spans="1:20">
      <c r="A50" t="s">
        <v>49</v>
      </c>
      <c r="B50">
        <v>123000</v>
      </c>
      <c r="C50">
        <v>123000</v>
      </c>
      <c r="E50" s="1">
        <f t="shared" si="0"/>
        <v>246000</v>
      </c>
      <c r="F50" s="3">
        <v>0.87</v>
      </c>
      <c r="G50" s="2">
        <f t="shared" si="1"/>
        <v>214020</v>
      </c>
      <c r="H50" s="2">
        <f t="shared" si="6"/>
        <v>26324.46</v>
      </c>
      <c r="I50" s="2">
        <f>G50*$I$2</f>
        <v>44944.2</v>
      </c>
      <c r="J50" s="2">
        <f t="shared" si="2"/>
        <v>5093958.870000001</v>
      </c>
      <c r="K50" s="2">
        <v>0</v>
      </c>
      <c r="L50" s="2">
        <f t="shared" si="3"/>
        <v>0</v>
      </c>
      <c r="M50" s="1">
        <f>100000*0.75</f>
        <v>75000</v>
      </c>
      <c r="N50" s="10">
        <f>L50/M50+N51</f>
        <v>18.834396000000002</v>
      </c>
      <c r="O50" t="s">
        <v>49</v>
      </c>
      <c r="P50" s="2" t="s">
        <v>138</v>
      </c>
      <c r="T50">
        <v>2021</v>
      </c>
    </row>
    <row r="51" spans="1:20">
      <c r="A51" t="s">
        <v>128</v>
      </c>
      <c r="F51" s="3"/>
      <c r="G51" s="2">
        <v>1412579.7</v>
      </c>
      <c r="H51" s="2"/>
      <c r="J51" s="2">
        <f t="shared" si="2"/>
        <v>6506538.5700000012</v>
      </c>
      <c r="K51" s="2">
        <f t="shared" ref="K51:K92" si="7">J51-J50+K50</f>
        <v>1412579.7000000002</v>
      </c>
      <c r="L51" s="2">
        <f t="shared" si="3"/>
        <v>1412579.7000000002</v>
      </c>
      <c r="M51" s="1">
        <f t="shared" ref="M51:M55" si="8">100000*0.75</f>
        <v>75000</v>
      </c>
      <c r="N51" s="10">
        <f>L51/M51+N49</f>
        <v>18.834396000000002</v>
      </c>
      <c r="O51" t="s">
        <v>139</v>
      </c>
      <c r="Q51" s="6" t="s">
        <v>140</v>
      </c>
    </row>
    <row r="52" spans="1:20">
      <c r="A52" t="s">
        <v>50</v>
      </c>
      <c r="B52">
        <v>124000</v>
      </c>
      <c r="C52">
        <v>124000</v>
      </c>
      <c r="E52" s="1">
        <f t="shared" si="0"/>
        <v>248000</v>
      </c>
      <c r="F52" s="3">
        <v>0.87</v>
      </c>
      <c r="G52" s="2">
        <f t="shared" si="1"/>
        <v>215760</v>
      </c>
      <c r="H52" s="2">
        <f t="shared" si="6"/>
        <v>26538.48</v>
      </c>
      <c r="I52" s="2">
        <f t="shared" ref="I52:I92" si="9">G52*$I$2</f>
        <v>45309.599999999999</v>
      </c>
      <c r="J52" s="2">
        <f t="shared" si="2"/>
        <v>6650450.4900000012</v>
      </c>
      <c r="K52" s="2">
        <f t="shared" si="7"/>
        <v>1556491.62</v>
      </c>
      <c r="L52" s="2">
        <f t="shared" si="3"/>
        <v>143911.91999999993</v>
      </c>
      <c r="M52" s="1">
        <f t="shared" si="8"/>
        <v>75000</v>
      </c>
      <c r="N52" s="10">
        <f>L52/M52+N50</f>
        <v>20.7532216</v>
      </c>
      <c r="O52" t="s">
        <v>50</v>
      </c>
      <c r="P52" s="2" t="s">
        <v>124</v>
      </c>
      <c r="Q52" s="6">
        <f t="shared" ref="Q52:Q92" si="10">ROUND((N52*2)/7,0)/2</f>
        <v>3</v>
      </c>
      <c r="R52" s="6" t="s">
        <v>125</v>
      </c>
      <c r="T52">
        <v>1963</v>
      </c>
    </row>
    <row r="53" spans="1:20">
      <c r="A53" t="s">
        <v>51</v>
      </c>
      <c r="B53">
        <v>128000</v>
      </c>
      <c r="C53">
        <v>126000</v>
      </c>
      <c r="E53" s="1">
        <f t="shared" si="0"/>
        <v>254000</v>
      </c>
      <c r="F53" s="3">
        <v>0.87</v>
      </c>
      <c r="G53" s="2">
        <f t="shared" si="1"/>
        <v>220980</v>
      </c>
      <c r="H53" s="2">
        <f t="shared" si="6"/>
        <v>27180.54</v>
      </c>
      <c r="I53" s="2">
        <f t="shared" si="9"/>
        <v>46405.799999999996</v>
      </c>
      <c r="J53" s="2">
        <f t="shared" si="2"/>
        <v>6797844.1500000013</v>
      </c>
      <c r="K53" s="2">
        <f t="shared" si="7"/>
        <v>1703885.2800000003</v>
      </c>
      <c r="L53" s="2">
        <f t="shared" si="3"/>
        <v>147393.66000000015</v>
      </c>
      <c r="M53" s="1">
        <f t="shared" si="8"/>
        <v>75000</v>
      </c>
      <c r="N53" s="10">
        <f t="shared" si="5"/>
        <v>22.718470400000001</v>
      </c>
      <c r="O53" t="s">
        <v>51</v>
      </c>
      <c r="P53" s="2" t="s">
        <v>124</v>
      </c>
      <c r="Q53" s="6">
        <f t="shared" si="10"/>
        <v>3</v>
      </c>
      <c r="R53" s="6" t="s">
        <v>125</v>
      </c>
      <c r="T53">
        <v>1964</v>
      </c>
    </row>
    <row r="54" spans="1:20">
      <c r="A54" t="s">
        <v>52</v>
      </c>
      <c r="B54">
        <v>130000</v>
      </c>
      <c r="C54">
        <v>129000</v>
      </c>
      <c r="E54" s="1">
        <f t="shared" si="0"/>
        <v>259000</v>
      </c>
      <c r="F54" s="3">
        <v>0.87</v>
      </c>
      <c r="G54" s="2">
        <f t="shared" si="1"/>
        <v>225330</v>
      </c>
      <c r="H54" s="2">
        <f t="shared" si="6"/>
        <v>27715.59</v>
      </c>
      <c r="I54" s="2">
        <f t="shared" si="9"/>
        <v>47319.299999999996</v>
      </c>
      <c r="J54" s="2">
        <f t="shared" si="2"/>
        <v>6948139.2600000016</v>
      </c>
      <c r="K54" s="2">
        <f t="shared" si="7"/>
        <v>1854180.3900000006</v>
      </c>
      <c r="L54" s="2">
        <f t="shared" si="3"/>
        <v>150295.11000000034</v>
      </c>
      <c r="M54" s="1">
        <f t="shared" si="8"/>
        <v>75000</v>
      </c>
      <c r="N54" s="10">
        <f t="shared" si="5"/>
        <v>24.722405200000004</v>
      </c>
      <c r="O54" t="s">
        <v>52</v>
      </c>
      <c r="P54" s="2" t="s">
        <v>124</v>
      </c>
      <c r="Q54" s="6">
        <f t="shared" si="10"/>
        <v>3.5</v>
      </c>
      <c r="R54" s="6" t="s">
        <v>125</v>
      </c>
      <c r="T54">
        <v>1965</v>
      </c>
    </row>
    <row r="55" spans="1:20">
      <c r="A55" t="s">
        <v>53</v>
      </c>
      <c r="B55">
        <v>129000</v>
      </c>
      <c r="C55">
        <v>127000</v>
      </c>
      <c r="E55" s="1">
        <f t="shared" si="0"/>
        <v>256000</v>
      </c>
      <c r="F55" s="3">
        <v>0.87</v>
      </c>
      <c r="G55" s="2">
        <f t="shared" si="1"/>
        <v>222720</v>
      </c>
      <c r="H55" s="2">
        <f t="shared" si="6"/>
        <v>27394.560000000001</v>
      </c>
      <c r="I55" s="2">
        <f t="shared" si="9"/>
        <v>46771.199999999997</v>
      </c>
      <c r="J55" s="2">
        <f t="shared" si="2"/>
        <v>7096693.5000000019</v>
      </c>
      <c r="K55" s="2">
        <f t="shared" si="7"/>
        <v>2002734.6300000008</v>
      </c>
      <c r="L55" s="2">
        <f t="shared" si="3"/>
        <v>148554.24000000022</v>
      </c>
      <c r="M55" s="1">
        <f t="shared" si="8"/>
        <v>75000</v>
      </c>
      <c r="N55" s="10">
        <f t="shared" si="5"/>
        <v>26.703128400000008</v>
      </c>
      <c r="O55" t="s">
        <v>53</v>
      </c>
      <c r="P55" s="2" t="s">
        <v>124</v>
      </c>
      <c r="Q55" s="6">
        <f t="shared" si="10"/>
        <v>4</v>
      </c>
      <c r="R55" s="6" t="s">
        <v>125</v>
      </c>
      <c r="T55">
        <v>1966</v>
      </c>
    </row>
    <row r="56" spans="1:20">
      <c r="A56" t="s">
        <v>54</v>
      </c>
      <c r="B56">
        <v>127000</v>
      </c>
      <c r="C56">
        <v>126000</v>
      </c>
      <c r="E56" s="1">
        <f t="shared" si="0"/>
        <v>253000</v>
      </c>
      <c r="F56" s="3">
        <v>0.74</v>
      </c>
      <c r="G56" s="2">
        <f t="shared" si="1"/>
        <v>187220</v>
      </c>
      <c r="H56" s="2">
        <f t="shared" si="6"/>
        <v>23028.06</v>
      </c>
      <c r="I56" s="2">
        <f t="shared" si="9"/>
        <v>39316.199999999997</v>
      </c>
      <c r="J56" s="2">
        <f t="shared" si="2"/>
        <v>7221569.2400000021</v>
      </c>
      <c r="K56" s="2">
        <f t="shared" si="7"/>
        <v>2127610.370000001</v>
      </c>
      <c r="L56" s="2">
        <f t="shared" si="3"/>
        <v>124875.74000000022</v>
      </c>
      <c r="M56" s="1">
        <f>120000*0.75</f>
        <v>90000</v>
      </c>
      <c r="N56" s="10">
        <f t="shared" si="5"/>
        <v>28.090636622222231</v>
      </c>
      <c r="O56" t="s">
        <v>54</v>
      </c>
      <c r="P56" s="2" t="s">
        <v>124</v>
      </c>
      <c r="Q56" s="6">
        <f t="shared" si="10"/>
        <v>4</v>
      </c>
      <c r="R56" s="6" t="s">
        <v>125</v>
      </c>
      <c r="T56">
        <v>1967</v>
      </c>
    </row>
    <row r="57" spans="1:20">
      <c r="A57" t="s">
        <v>55</v>
      </c>
      <c r="B57">
        <v>126000</v>
      </c>
      <c r="C57">
        <v>125000</v>
      </c>
      <c r="E57" s="1">
        <f t="shared" si="0"/>
        <v>251000</v>
      </c>
      <c r="F57" s="3">
        <v>0.74</v>
      </c>
      <c r="G57" s="2">
        <f t="shared" si="1"/>
        <v>185740</v>
      </c>
      <c r="H57" s="2">
        <f t="shared" si="6"/>
        <v>22846.02</v>
      </c>
      <c r="I57" s="2">
        <f t="shared" si="9"/>
        <v>39005.4</v>
      </c>
      <c r="J57" s="2">
        <f t="shared" si="2"/>
        <v>7345457.8200000022</v>
      </c>
      <c r="K57" s="2">
        <f t="shared" si="7"/>
        <v>2251498.9500000011</v>
      </c>
      <c r="L57" s="2">
        <f t="shared" si="3"/>
        <v>123888.58000000007</v>
      </c>
      <c r="M57" s="1">
        <f t="shared" ref="M57:M60" si="11">120000*0.75</f>
        <v>90000</v>
      </c>
      <c r="N57" s="10">
        <f t="shared" si="5"/>
        <v>29.46717640000001</v>
      </c>
      <c r="O57" t="s">
        <v>55</v>
      </c>
      <c r="P57" s="2" t="s">
        <v>124</v>
      </c>
      <c r="Q57" s="6">
        <f t="shared" si="10"/>
        <v>4</v>
      </c>
      <c r="R57" s="6" t="s">
        <v>125</v>
      </c>
      <c r="T57">
        <v>1968</v>
      </c>
    </row>
    <row r="58" spans="1:20">
      <c r="A58" t="s">
        <v>56</v>
      </c>
      <c r="B58">
        <v>128000</v>
      </c>
      <c r="C58">
        <v>127000</v>
      </c>
      <c r="E58" s="1">
        <f t="shared" si="0"/>
        <v>255000</v>
      </c>
      <c r="F58" s="3">
        <v>0.74</v>
      </c>
      <c r="G58" s="2">
        <f t="shared" si="1"/>
        <v>188700</v>
      </c>
      <c r="H58" s="2">
        <f t="shared" si="6"/>
        <v>23210.1</v>
      </c>
      <c r="I58" s="2">
        <f t="shared" si="9"/>
        <v>39627</v>
      </c>
      <c r="J58" s="2">
        <f t="shared" si="2"/>
        <v>7471320.7200000025</v>
      </c>
      <c r="K58" s="2">
        <f t="shared" si="7"/>
        <v>2377361.8500000015</v>
      </c>
      <c r="L58" s="2">
        <f t="shared" si="3"/>
        <v>125862.90000000037</v>
      </c>
      <c r="M58" s="1">
        <f t="shared" si="11"/>
        <v>90000</v>
      </c>
      <c r="N58" s="10">
        <f t="shared" si="5"/>
        <v>30.865653066666681</v>
      </c>
      <c r="O58" t="s">
        <v>56</v>
      </c>
      <c r="P58" s="2" t="s">
        <v>124</v>
      </c>
      <c r="Q58" s="6">
        <f t="shared" si="10"/>
        <v>4.5</v>
      </c>
      <c r="R58" s="6" t="s">
        <v>125</v>
      </c>
      <c r="T58">
        <v>1969</v>
      </c>
    </row>
    <row r="59" spans="1:20">
      <c r="A59" t="s">
        <v>57</v>
      </c>
      <c r="B59">
        <v>133000</v>
      </c>
      <c r="C59">
        <v>133000</v>
      </c>
      <c r="E59" s="1">
        <f t="shared" si="0"/>
        <v>266000</v>
      </c>
      <c r="F59" s="3">
        <v>0.74</v>
      </c>
      <c r="G59" s="2">
        <f t="shared" si="1"/>
        <v>196840</v>
      </c>
      <c r="H59" s="2">
        <f t="shared" si="6"/>
        <v>24211.32</v>
      </c>
      <c r="I59" s="2">
        <f t="shared" si="9"/>
        <v>41336.400000000001</v>
      </c>
      <c r="J59" s="2">
        <f t="shared" si="2"/>
        <v>7602613.0000000028</v>
      </c>
      <c r="K59" s="2">
        <f t="shared" si="7"/>
        <v>2508654.1300000018</v>
      </c>
      <c r="L59" s="2">
        <f t="shared" si="3"/>
        <v>131292.28000000026</v>
      </c>
      <c r="M59" s="1">
        <f t="shared" si="11"/>
        <v>90000</v>
      </c>
      <c r="N59" s="10">
        <f t="shared" si="5"/>
        <v>32.324456177777797</v>
      </c>
      <c r="O59" t="s">
        <v>57</v>
      </c>
      <c r="P59" s="2" t="s">
        <v>124</v>
      </c>
      <c r="Q59" s="6">
        <f t="shared" si="10"/>
        <v>4.5</v>
      </c>
      <c r="R59" s="6" t="s">
        <v>125</v>
      </c>
      <c r="T59">
        <v>1970</v>
      </c>
    </row>
    <row r="60" spans="1:20">
      <c r="A60" t="s">
        <v>58</v>
      </c>
      <c r="B60">
        <v>130000</v>
      </c>
      <c r="C60">
        <v>130000</v>
      </c>
      <c r="E60" s="1">
        <f t="shared" si="0"/>
        <v>260000</v>
      </c>
      <c r="F60" s="3">
        <v>0.74</v>
      </c>
      <c r="G60" s="2">
        <f t="shared" si="1"/>
        <v>192400</v>
      </c>
      <c r="H60" s="2">
        <f t="shared" si="6"/>
        <v>23665.200000000001</v>
      </c>
      <c r="I60" s="2">
        <f t="shared" si="9"/>
        <v>40404</v>
      </c>
      <c r="J60" s="2">
        <f t="shared" si="2"/>
        <v>7730943.8000000026</v>
      </c>
      <c r="K60" s="2">
        <f t="shared" si="7"/>
        <v>2636984.9300000016</v>
      </c>
      <c r="L60" s="2">
        <f t="shared" si="3"/>
        <v>128330.79999999981</v>
      </c>
      <c r="M60" s="1">
        <f t="shared" si="11"/>
        <v>90000</v>
      </c>
      <c r="N60" s="10">
        <f t="shared" si="5"/>
        <v>33.750353955555575</v>
      </c>
      <c r="O60" t="s">
        <v>58</v>
      </c>
      <c r="P60" s="2" t="s">
        <v>124</v>
      </c>
      <c r="Q60" s="6">
        <f t="shared" si="10"/>
        <v>5</v>
      </c>
      <c r="R60" s="6" t="s">
        <v>125</v>
      </c>
      <c r="T60">
        <v>1971</v>
      </c>
    </row>
    <row r="61" spans="1:20">
      <c r="A61" t="s">
        <v>59</v>
      </c>
      <c r="B61">
        <v>125000</v>
      </c>
      <c r="C61">
        <v>125000</v>
      </c>
      <c r="E61" s="1">
        <f t="shared" si="0"/>
        <v>250000</v>
      </c>
      <c r="F61" s="3">
        <v>0.74</v>
      </c>
      <c r="G61" s="2">
        <f t="shared" si="1"/>
        <v>185000</v>
      </c>
      <c r="H61" s="2">
        <f t="shared" si="6"/>
        <v>22755</v>
      </c>
      <c r="I61" s="2">
        <f t="shared" si="9"/>
        <v>38850</v>
      </c>
      <c r="J61" s="2">
        <f t="shared" si="2"/>
        <v>7854338.8000000026</v>
      </c>
      <c r="K61" s="2">
        <f t="shared" si="7"/>
        <v>2760379.9300000016</v>
      </c>
      <c r="L61" s="2">
        <f t="shared" si="3"/>
        <v>123395</v>
      </c>
      <c r="M61" s="1">
        <f t="shared" ref="M61:M66" si="12">165000*0.75</f>
        <v>123750</v>
      </c>
      <c r="N61" s="10">
        <f t="shared" si="5"/>
        <v>34.747485268686887</v>
      </c>
      <c r="O61" t="s">
        <v>59</v>
      </c>
      <c r="P61" s="2" t="s">
        <v>124</v>
      </c>
      <c r="Q61" s="6">
        <f t="shared" si="10"/>
        <v>5</v>
      </c>
      <c r="R61" s="6" t="s">
        <v>125</v>
      </c>
      <c r="T61">
        <v>1972</v>
      </c>
    </row>
    <row r="62" spans="1:20">
      <c r="A62" t="s">
        <v>60</v>
      </c>
      <c r="B62">
        <v>119000</v>
      </c>
      <c r="C62">
        <v>121000</v>
      </c>
      <c r="E62" s="1">
        <f t="shared" si="0"/>
        <v>240000</v>
      </c>
      <c r="F62" s="3">
        <v>0.74</v>
      </c>
      <c r="G62" s="2">
        <f t="shared" si="1"/>
        <v>177600</v>
      </c>
      <c r="H62" s="2">
        <f t="shared" si="6"/>
        <v>21844.799999999999</v>
      </c>
      <c r="I62" s="2">
        <f t="shared" si="9"/>
        <v>37296</v>
      </c>
      <c r="J62" s="2">
        <f t="shared" si="2"/>
        <v>7972798.0000000028</v>
      </c>
      <c r="K62" s="2">
        <f t="shared" si="7"/>
        <v>2878839.1300000018</v>
      </c>
      <c r="L62" s="2">
        <f t="shared" si="3"/>
        <v>118459.20000000019</v>
      </c>
      <c r="M62" s="1">
        <f t="shared" si="12"/>
        <v>123750</v>
      </c>
      <c r="N62" s="10">
        <f t="shared" si="5"/>
        <v>35.704731329292947</v>
      </c>
      <c r="O62" t="s">
        <v>60</v>
      </c>
      <c r="P62" s="2" t="s">
        <v>124</v>
      </c>
      <c r="Q62" s="6">
        <f t="shared" si="10"/>
        <v>5</v>
      </c>
      <c r="R62" s="6" t="s">
        <v>125</v>
      </c>
      <c r="T62">
        <v>1973</v>
      </c>
    </row>
    <row r="63" spans="1:20">
      <c r="A63" t="s">
        <v>61</v>
      </c>
      <c r="B63">
        <v>110000</v>
      </c>
      <c r="C63">
        <v>112000</v>
      </c>
      <c r="E63" s="1">
        <f t="shared" si="0"/>
        <v>222000</v>
      </c>
      <c r="F63" s="3">
        <v>0.74</v>
      </c>
      <c r="G63" s="2">
        <f t="shared" si="1"/>
        <v>164280</v>
      </c>
      <c r="H63" s="2">
        <f t="shared" si="6"/>
        <v>20206.439999999999</v>
      </c>
      <c r="I63" s="2">
        <f t="shared" si="9"/>
        <v>34498.799999999996</v>
      </c>
      <c r="J63" s="2">
        <f t="shared" si="2"/>
        <v>8082372.7600000026</v>
      </c>
      <c r="K63" s="2">
        <f t="shared" si="7"/>
        <v>2988413.8900000015</v>
      </c>
      <c r="L63" s="2">
        <f t="shared" si="3"/>
        <v>109574.75999999978</v>
      </c>
      <c r="M63" s="1">
        <f t="shared" si="12"/>
        <v>123750</v>
      </c>
      <c r="N63" s="10">
        <f t="shared" si="5"/>
        <v>36.590183935353551</v>
      </c>
      <c r="O63" t="s">
        <v>61</v>
      </c>
      <c r="P63" s="2" t="s">
        <v>124</v>
      </c>
      <c r="Q63" s="6">
        <f t="shared" si="10"/>
        <v>5</v>
      </c>
      <c r="R63" s="6" t="s">
        <v>125</v>
      </c>
      <c r="T63">
        <v>1974</v>
      </c>
    </row>
    <row r="64" spans="1:20">
      <c r="A64" t="s">
        <v>62</v>
      </c>
      <c r="B64">
        <v>106000</v>
      </c>
      <c r="C64">
        <v>108000</v>
      </c>
      <c r="E64" s="1">
        <f t="shared" si="0"/>
        <v>214000</v>
      </c>
      <c r="F64" s="3">
        <v>0.74</v>
      </c>
      <c r="G64" s="2">
        <f t="shared" si="1"/>
        <v>158360</v>
      </c>
      <c r="H64" s="2">
        <f t="shared" si="6"/>
        <v>19478.28</v>
      </c>
      <c r="I64" s="2">
        <f t="shared" si="9"/>
        <v>33255.599999999999</v>
      </c>
      <c r="J64" s="2">
        <f t="shared" si="2"/>
        <v>8187998.8800000027</v>
      </c>
      <c r="K64" s="2">
        <f t="shared" si="7"/>
        <v>3094040.0100000016</v>
      </c>
      <c r="L64" s="2">
        <f t="shared" si="3"/>
        <v>105626.12000000011</v>
      </c>
      <c r="M64" s="1">
        <f t="shared" si="12"/>
        <v>123750</v>
      </c>
      <c r="N64" s="10">
        <f t="shared" si="5"/>
        <v>37.443728339393957</v>
      </c>
      <c r="O64" t="s">
        <v>62</v>
      </c>
      <c r="P64" s="2" t="s">
        <v>124</v>
      </c>
      <c r="Q64" s="6">
        <f t="shared" si="10"/>
        <v>5.5</v>
      </c>
      <c r="R64" s="6" t="s">
        <v>125</v>
      </c>
      <c r="T64">
        <v>1975</v>
      </c>
    </row>
    <row r="65" spans="1:20">
      <c r="A65" t="s">
        <v>63</v>
      </c>
      <c r="B65">
        <v>102000</v>
      </c>
      <c r="C65">
        <v>103000</v>
      </c>
      <c r="E65" s="1">
        <f t="shared" si="0"/>
        <v>205000</v>
      </c>
      <c r="F65" s="3">
        <v>0.74</v>
      </c>
      <c r="G65" s="2">
        <f t="shared" si="1"/>
        <v>151700</v>
      </c>
      <c r="H65" s="2">
        <f t="shared" si="6"/>
        <v>18659.099999999999</v>
      </c>
      <c r="I65" s="2">
        <f t="shared" si="9"/>
        <v>31857</v>
      </c>
      <c r="J65" s="2">
        <f t="shared" si="2"/>
        <v>8289182.7800000031</v>
      </c>
      <c r="K65" s="2">
        <f t="shared" si="7"/>
        <v>3195223.910000002</v>
      </c>
      <c r="L65" s="2">
        <f t="shared" si="3"/>
        <v>101183.90000000037</v>
      </c>
      <c r="M65" s="1">
        <f t="shared" si="12"/>
        <v>123750</v>
      </c>
      <c r="N65" s="10">
        <f t="shared" si="5"/>
        <v>38.261376016161634</v>
      </c>
      <c r="O65" t="s">
        <v>63</v>
      </c>
      <c r="P65" s="2" t="s">
        <v>124</v>
      </c>
      <c r="Q65" s="6">
        <f t="shared" si="10"/>
        <v>5.5</v>
      </c>
      <c r="R65" s="6" t="s">
        <v>125</v>
      </c>
      <c r="T65">
        <v>1976</v>
      </c>
    </row>
    <row r="66" spans="1:20">
      <c r="A66" t="s">
        <v>64</v>
      </c>
      <c r="B66">
        <v>102000</v>
      </c>
      <c r="C66">
        <v>102000</v>
      </c>
      <c r="E66" s="1">
        <f t="shared" si="0"/>
        <v>204000</v>
      </c>
      <c r="F66" s="3">
        <v>0.74</v>
      </c>
      <c r="G66" s="2">
        <f t="shared" si="1"/>
        <v>150960</v>
      </c>
      <c r="H66" s="2">
        <f t="shared" si="6"/>
        <v>18568.079999999998</v>
      </c>
      <c r="I66" s="2">
        <f t="shared" si="9"/>
        <v>31701.599999999999</v>
      </c>
      <c r="J66" s="2">
        <f t="shared" si="2"/>
        <v>8389873.1000000034</v>
      </c>
      <c r="K66" s="2">
        <f t="shared" si="7"/>
        <v>3295914.2300000023</v>
      </c>
      <c r="L66" s="2">
        <f t="shared" si="3"/>
        <v>100690.3200000003</v>
      </c>
      <c r="M66" s="1">
        <f t="shared" si="12"/>
        <v>123750</v>
      </c>
      <c r="N66" s="10">
        <f t="shared" si="5"/>
        <v>39.075035167676788</v>
      </c>
      <c r="O66" t="s">
        <v>64</v>
      </c>
      <c r="P66" s="2" t="s">
        <v>124</v>
      </c>
      <c r="Q66" s="6">
        <f t="shared" si="10"/>
        <v>5.5</v>
      </c>
      <c r="R66" s="6" t="s">
        <v>125</v>
      </c>
    </row>
    <row r="67" spans="1:20">
      <c r="A67" t="s">
        <v>65</v>
      </c>
      <c r="B67">
        <v>101000</v>
      </c>
      <c r="C67">
        <v>102000</v>
      </c>
      <c r="E67" s="1">
        <f t="shared" si="0"/>
        <v>203000</v>
      </c>
      <c r="F67" s="3">
        <v>0.74</v>
      </c>
      <c r="G67" s="2">
        <f t="shared" si="1"/>
        <v>150220</v>
      </c>
      <c r="H67" s="2">
        <f t="shared" si="6"/>
        <v>18477.060000000001</v>
      </c>
      <c r="I67" s="2">
        <f t="shared" si="9"/>
        <v>31546.199999999997</v>
      </c>
      <c r="J67" s="2">
        <f t="shared" si="2"/>
        <v>8490069.8400000036</v>
      </c>
      <c r="K67" s="2">
        <f t="shared" si="7"/>
        <v>3396110.9700000025</v>
      </c>
      <c r="L67" s="2">
        <f t="shared" si="3"/>
        <v>100196.74000000022</v>
      </c>
      <c r="M67" s="1">
        <f>180000*0.75</f>
        <v>135000</v>
      </c>
      <c r="N67" s="10">
        <f t="shared" si="5"/>
        <v>39.817233241750863</v>
      </c>
      <c r="O67" t="s">
        <v>65</v>
      </c>
      <c r="P67" s="2" t="s">
        <v>124</v>
      </c>
      <c r="Q67" s="6">
        <f t="shared" si="10"/>
        <v>5.5</v>
      </c>
      <c r="R67" s="6" t="s">
        <v>125</v>
      </c>
    </row>
    <row r="68" spans="1:20">
      <c r="A68" t="s">
        <v>66</v>
      </c>
      <c r="B68">
        <v>103000</v>
      </c>
      <c r="C68">
        <v>103000</v>
      </c>
      <c r="E68" s="1">
        <f t="shared" si="0"/>
        <v>206000</v>
      </c>
      <c r="F68" s="3">
        <v>0.74</v>
      </c>
      <c r="G68" s="2">
        <f t="shared" si="1"/>
        <v>152440</v>
      </c>
      <c r="H68" s="2">
        <f t="shared" si="6"/>
        <v>18750.12</v>
      </c>
      <c r="I68" s="2">
        <f t="shared" si="9"/>
        <v>32012.399999999998</v>
      </c>
      <c r="J68" s="2">
        <f t="shared" si="2"/>
        <v>8591747.320000004</v>
      </c>
      <c r="K68" s="2">
        <f t="shared" si="7"/>
        <v>3497788.450000003</v>
      </c>
      <c r="L68" s="2">
        <f t="shared" si="3"/>
        <v>101677.48000000045</v>
      </c>
      <c r="M68" s="1">
        <f t="shared" ref="M68:M92" si="13">180000*0.75</f>
        <v>135000</v>
      </c>
      <c r="N68" s="10">
        <f t="shared" si="5"/>
        <v>40.570399760269382</v>
      </c>
      <c r="O68" t="s">
        <v>66</v>
      </c>
      <c r="P68" s="2" t="s">
        <v>124</v>
      </c>
      <c r="Q68" s="6">
        <f t="shared" si="10"/>
        <v>6</v>
      </c>
      <c r="R68" s="6" t="s">
        <v>125</v>
      </c>
    </row>
    <row r="69" spans="1:20">
      <c r="A69" t="s">
        <v>67</v>
      </c>
      <c r="B69">
        <v>103000</v>
      </c>
      <c r="C69">
        <v>103000</v>
      </c>
      <c r="E69" s="1">
        <f t="shared" si="0"/>
        <v>206000</v>
      </c>
      <c r="F69" s="3">
        <v>0.74</v>
      </c>
      <c r="G69" s="2">
        <f t="shared" si="1"/>
        <v>152440</v>
      </c>
      <c r="H69" s="2">
        <f t="shared" si="6"/>
        <v>18750.12</v>
      </c>
      <c r="I69" s="2">
        <f t="shared" si="9"/>
        <v>32012.399999999998</v>
      </c>
      <c r="J69" s="2">
        <f t="shared" ref="J69:J92" si="14">G69-H69-I69+J68</f>
        <v>8693424.8000000045</v>
      </c>
      <c r="K69" s="2">
        <f t="shared" si="7"/>
        <v>3599465.9300000034</v>
      </c>
      <c r="L69" s="2">
        <f t="shared" si="3"/>
        <v>101677.48000000045</v>
      </c>
      <c r="M69" s="1">
        <f t="shared" si="13"/>
        <v>135000</v>
      </c>
      <c r="N69" s="10">
        <f t="shared" si="5"/>
        <v>41.323566278787901</v>
      </c>
      <c r="O69" t="s">
        <v>67</v>
      </c>
      <c r="P69" s="2" t="s">
        <v>124</v>
      </c>
      <c r="Q69" s="6">
        <f t="shared" si="10"/>
        <v>6</v>
      </c>
      <c r="R69" s="6" t="s">
        <v>125</v>
      </c>
    </row>
    <row r="70" spans="1:20">
      <c r="A70" t="s">
        <v>68</v>
      </c>
      <c r="B70">
        <v>107000</v>
      </c>
      <c r="C70">
        <v>107000</v>
      </c>
      <c r="E70" s="1">
        <f t="shared" ref="E70:E110" si="15">C70+B70</f>
        <v>214000</v>
      </c>
      <c r="F70" s="3">
        <v>0.74</v>
      </c>
      <c r="G70" s="2">
        <f t="shared" ref="G70:G110" si="16">F70*E70</f>
        <v>158360</v>
      </c>
      <c r="H70" s="2">
        <f t="shared" si="6"/>
        <v>19478.28</v>
      </c>
      <c r="I70" s="2">
        <f t="shared" si="9"/>
        <v>33255.599999999999</v>
      </c>
      <c r="J70" s="2">
        <f t="shared" si="14"/>
        <v>8799050.9200000037</v>
      </c>
      <c r="K70" s="2">
        <f t="shared" si="7"/>
        <v>3705092.0500000026</v>
      </c>
      <c r="L70" s="2">
        <f t="shared" si="3"/>
        <v>105626.11999999918</v>
      </c>
      <c r="M70" s="1">
        <f t="shared" si="13"/>
        <v>135000</v>
      </c>
      <c r="N70" s="10">
        <f t="shared" si="5"/>
        <v>42.105981982491599</v>
      </c>
      <c r="O70" t="s">
        <v>68</v>
      </c>
      <c r="P70" s="2" t="s">
        <v>124</v>
      </c>
      <c r="Q70" s="6">
        <f t="shared" si="10"/>
        <v>6</v>
      </c>
      <c r="R70" s="6" t="s">
        <v>125</v>
      </c>
    </row>
    <row r="71" spans="1:20">
      <c r="A71" t="s">
        <v>69</v>
      </c>
      <c r="B71">
        <v>105000</v>
      </c>
      <c r="C71">
        <v>105000</v>
      </c>
      <c r="E71" s="1">
        <f t="shared" si="15"/>
        <v>210000</v>
      </c>
      <c r="F71" s="3">
        <v>0.65</v>
      </c>
      <c r="G71" s="2">
        <f t="shared" si="16"/>
        <v>136500</v>
      </c>
      <c r="H71" s="2">
        <f t="shared" si="6"/>
        <v>16789.5</v>
      </c>
      <c r="I71" s="2">
        <f t="shared" si="9"/>
        <v>28665</v>
      </c>
      <c r="J71" s="2">
        <f t="shared" si="14"/>
        <v>8890096.4200000037</v>
      </c>
      <c r="K71" s="2">
        <f t="shared" si="7"/>
        <v>3796137.5500000026</v>
      </c>
      <c r="L71" s="2">
        <f t="shared" si="3"/>
        <v>91045.5</v>
      </c>
      <c r="M71" s="1">
        <f t="shared" si="13"/>
        <v>135000</v>
      </c>
      <c r="N71" s="10">
        <f t="shared" si="5"/>
        <v>42.780393093602711</v>
      </c>
      <c r="O71" t="s">
        <v>69</v>
      </c>
      <c r="P71" s="2" t="s">
        <v>124</v>
      </c>
      <c r="Q71" s="6">
        <f t="shared" si="10"/>
        <v>6</v>
      </c>
      <c r="R71" s="6" t="s">
        <v>125</v>
      </c>
    </row>
    <row r="72" spans="1:20">
      <c r="A72" t="s">
        <v>70</v>
      </c>
      <c r="B72">
        <v>104000</v>
      </c>
      <c r="C72">
        <v>103000</v>
      </c>
      <c r="E72" s="1">
        <f t="shared" si="15"/>
        <v>207000</v>
      </c>
      <c r="F72" s="3">
        <v>0.65</v>
      </c>
      <c r="G72" s="2">
        <f t="shared" si="16"/>
        <v>134550</v>
      </c>
      <c r="H72" s="2">
        <f t="shared" si="6"/>
        <v>16549.650000000001</v>
      </c>
      <c r="I72" s="2">
        <f t="shared" si="9"/>
        <v>28255.5</v>
      </c>
      <c r="J72" s="2">
        <f t="shared" si="14"/>
        <v>8979841.2700000033</v>
      </c>
      <c r="K72" s="2">
        <f t="shared" si="7"/>
        <v>3885882.4000000022</v>
      </c>
      <c r="L72" s="2">
        <f t="shared" si="3"/>
        <v>89744.849999999627</v>
      </c>
      <c r="M72" s="1">
        <f t="shared" si="13"/>
        <v>135000</v>
      </c>
      <c r="N72" s="10">
        <f t="shared" si="5"/>
        <v>43.445169760269373</v>
      </c>
      <c r="O72" t="s">
        <v>70</v>
      </c>
      <c r="P72" s="2" t="s">
        <v>124</v>
      </c>
      <c r="Q72" s="6">
        <f t="shared" si="10"/>
        <v>6</v>
      </c>
      <c r="R72" s="6" t="s">
        <v>125</v>
      </c>
    </row>
    <row r="73" spans="1:20">
      <c r="A73" t="s">
        <v>71</v>
      </c>
      <c r="B73">
        <v>104000</v>
      </c>
      <c r="C73">
        <v>103000</v>
      </c>
      <c r="E73" s="1">
        <f t="shared" si="15"/>
        <v>207000</v>
      </c>
      <c r="F73" s="3">
        <v>0.65</v>
      </c>
      <c r="G73" s="2">
        <f t="shared" si="16"/>
        <v>134550</v>
      </c>
      <c r="H73" s="2">
        <f t="shared" si="6"/>
        <v>16549.650000000001</v>
      </c>
      <c r="I73" s="2">
        <f t="shared" si="9"/>
        <v>28255.5</v>
      </c>
      <c r="J73" s="2">
        <f t="shared" si="14"/>
        <v>9069586.1200000029</v>
      </c>
      <c r="K73" s="2">
        <f t="shared" si="7"/>
        <v>3975627.2500000019</v>
      </c>
      <c r="L73" s="2">
        <f t="shared" si="3"/>
        <v>89744.849999999627</v>
      </c>
      <c r="M73" s="1">
        <f t="shared" si="13"/>
        <v>135000</v>
      </c>
      <c r="N73" s="10">
        <f t="shared" si="5"/>
        <v>44.109946426936034</v>
      </c>
      <c r="O73" t="s">
        <v>71</v>
      </c>
      <c r="P73" s="2" t="s">
        <v>124</v>
      </c>
      <c r="Q73" s="6">
        <f t="shared" si="10"/>
        <v>6.5</v>
      </c>
      <c r="R73" s="6" t="s">
        <v>125</v>
      </c>
    </row>
    <row r="74" spans="1:20">
      <c r="A74" t="s">
        <v>72</v>
      </c>
      <c r="B74">
        <v>107000</v>
      </c>
      <c r="C74">
        <v>105000</v>
      </c>
      <c r="E74" s="1">
        <f t="shared" si="15"/>
        <v>212000</v>
      </c>
      <c r="F74" s="3">
        <v>0.65</v>
      </c>
      <c r="G74" s="2">
        <f t="shared" si="16"/>
        <v>137800</v>
      </c>
      <c r="H74" s="2">
        <f t="shared" si="6"/>
        <v>16949.400000000001</v>
      </c>
      <c r="I74" s="2">
        <f t="shared" si="9"/>
        <v>28938</v>
      </c>
      <c r="J74" s="2">
        <f t="shared" si="14"/>
        <v>9161498.7200000025</v>
      </c>
      <c r="K74" s="2">
        <f t="shared" si="7"/>
        <v>4067539.8500000015</v>
      </c>
      <c r="L74" s="2">
        <f t="shared" si="3"/>
        <v>91912.599999999627</v>
      </c>
      <c r="M74" s="1">
        <f t="shared" si="13"/>
        <v>135000</v>
      </c>
      <c r="N74" s="10">
        <f t="shared" si="5"/>
        <v>44.790780501010104</v>
      </c>
      <c r="O74" t="s">
        <v>72</v>
      </c>
      <c r="P74" s="2" t="s">
        <v>124</v>
      </c>
      <c r="Q74" s="6">
        <f t="shared" si="10"/>
        <v>6.5</v>
      </c>
      <c r="R74" s="6" t="s">
        <v>125</v>
      </c>
    </row>
    <row r="75" spans="1:20">
      <c r="A75" t="s">
        <v>73</v>
      </c>
      <c r="B75">
        <v>109000</v>
      </c>
      <c r="C75">
        <v>107000</v>
      </c>
      <c r="E75" s="1">
        <f t="shared" si="15"/>
        <v>216000</v>
      </c>
      <c r="F75" s="3">
        <v>0.65</v>
      </c>
      <c r="G75" s="2">
        <f t="shared" si="16"/>
        <v>140400</v>
      </c>
      <c r="H75" s="2">
        <f t="shared" si="6"/>
        <v>17269.2</v>
      </c>
      <c r="I75" s="2">
        <f t="shared" si="9"/>
        <v>29484</v>
      </c>
      <c r="J75" s="2">
        <f t="shared" si="14"/>
        <v>9255145.5200000033</v>
      </c>
      <c r="K75" s="2">
        <f t="shared" si="7"/>
        <v>4161186.6500000022</v>
      </c>
      <c r="L75" s="2">
        <f t="shared" si="3"/>
        <v>93646.800000000745</v>
      </c>
      <c r="M75" s="1">
        <f>180000*0.75</f>
        <v>135000</v>
      </c>
      <c r="N75" s="10">
        <f t="shared" si="5"/>
        <v>45.484460501010112</v>
      </c>
      <c r="O75" t="s">
        <v>73</v>
      </c>
      <c r="P75" s="2" t="s">
        <v>124</v>
      </c>
      <c r="Q75" s="6">
        <f t="shared" si="10"/>
        <v>6.5</v>
      </c>
      <c r="R75" s="6" t="s">
        <v>125</v>
      </c>
    </row>
    <row r="76" spans="1:20">
      <c r="A76" t="s">
        <v>74</v>
      </c>
      <c r="B76">
        <v>111000</v>
      </c>
      <c r="C76">
        <v>110000</v>
      </c>
      <c r="E76" s="1">
        <f t="shared" si="15"/>
        <v>221000</v>
      </c>
      <c r="F76" s="3">
        <v>0.65</v>
      </c>
      <c r="G76" s="2">
        <f t="shared" si="16"/>
        <v>143650</v>
      </c>
      <c r="H76" s="2">
        <f t="shared" si="6"/>
        <v>17668.95</v>
      </c>
      <c r="I76" s="2">
        <f t="shared" si="9"/>
        <v>30166.5</v>
      </c>
      <c r="J76" s="2">
        <f t="shared" si="14"/>
        <v>9350960.070000004</v>
      </c>
      <c r="K76" s="2">
        <f t="shared" si="7"/>
        <v>4257001.200000003</v>
      </c>
      <c r="L76" s="2">
        <f t="shared" si="3"/>
        <v>95814.550000000745</v>
      </c>
      <c r="M76" s="1">
        <f t="shared" si="13"/>
        <v>135000</v>
      </c>
      <c r="N76" s="10">
        <f t="shared" si="5"/>
        <v>46.194197908417522</v>
      </c>
      <c r="O76" t="s">
        <v>74</v>
      </c>
      <c r="P76" s="2" t="s">
        <v>124</v>
      </c>
      <c r="Q76" s="6">
        <f t="shared" si="10"/>
        <v>6.5</v>
      </c>
      <c r="R76" s="6" t="s">
        <v>125</v>
      </c>
    </row>
    <row r="77" spans="1:20">
      <c r="A77" t="s">
        <v>75</v>
      </c>
      <c r="B77">
        <v>113000</v>
      </c>
      <c r="C77">
        <v>109000</v>
      </c>
      <c r="E77" s="1">
        <f t="shared" si="15"/>
        <v>222000</v>
      </c>
      <c r="F77" s="3">
        <v>0.65</v>
      </c>
      <c r="G77" s="2">
        <f t="shared" si="16"/>
        <v>144300</v>
      </c>
      <c r="H77" s="2">
        <f t="shared" si="6"/>
        <v>17748.900000000001</v>
      </c>
      <c r="I77" s="2">
        <f t="shared" si="9"/>
        <v>30303</v>
      </c>
      <c r="J77" s="2">
        <f t="shared" si="14"/>
        <v>9447208.1700000037</v>
      </c>
      <c r="K77" s="2">
        <f t="shared" si="7"/>
        <v>4353249.3000000026</v>
      </c>
      <c r="L77" s="2">
        <f t="shared" si="3"/>
        <v>96248.099999999627</v>
      </c>
      <c r="M77" s="1">
        <f t="shared" si="13"/>
        <v>135000</v>
      </c>
      <c r="N77" s="10">
        <f t="shared" si="5"/>
        <v>46.90714679730641</v>
      </c>
      <c r="O77" t="s">
        <v>75</v>
      </c>
      <c r="P77" s="2" t="s">
        <v>124</v>
      </c>
      <c r="Q77" s="6">
        <f t="shared" si="10"/>
        <v>6.5</v>
      </c>
      <c r="R77" s="6" t="s">
        <v>125</v>
      </c>
    </row>
    <row r="78" spans="1:20">
      <c r="A78" t="s">
        <v>76</v>
      </c>
      <c r="B78">
        <v>113000</v>
      </c>
      <c r="C78">
        <v>110000</v>
      </c>
      <c r="E78" s="1">
        <f t="shared" si="15"/>
        <v>223000</v>
      </c>
      <c r="F78" s="3">
        <v>0.65</v>
      </c>
      <c r="G78" s="2">
        <f t="shared" si="16"/>
        <v>144950</v>
      </c>
      <c r="H78" s="2">
        <f t="shared" si="6"/>
        <v>17828.849999999999</v>
      </c>
      <c r="I78" s="2">
        <f t="shared" si="9"/>
        <v>30439.5</v>
      </c>
      <c r="J78" s="2">
        <f t="shared" si="14"/>
        <v>9543889.820000004</v>
      </c>
      <c r="K78" s="2">
        <f t="shared" si="7"/>
        <v>4449930.950000003</v>
      </c>
      <c r="L78" s="2">
        <f t="shared" si="3"/>
        <v>96681.650000000373</v>
      </c>
      <c r="M78" s="1">
        <f t="shared" si="13"/>
        <v>135000</v>
      </c>
      <c r="N78" s="10">
        <f t="shared" si="5"/>
        <v>47.623307167676785</v>
      </c>
      <c r="O78" t="s">
        <v>76</v>
      </c>
      <c r="P78" s="2" t="s">
        <v>124</v>
      </c>
      <c r="Q78" s="6">
        <f t="shared" si="10"/>
        <v>7</v>
      </c>
      <c r="R78" s="6" t="s">
        <v>125</v>
      </c>
    </row>
    <row r="79" spans="1:20">
      <c r="A79" t="s">
        <v>77</v>
      </c>
      <c r="B79">
        <v>114000</v>
      </c>
      <c r="C79">
        <v>112000</v>
      </c>
      <c r="E79" s="1">
        <f t="shared" si="15"/>
        <v>226000</v>
      </c>
      <c r="F79" s="3">
        <v>0.65</v>
      </c>
      <c r="G79" s="2">
        <f t="shared" si="16"/>
        <v>146900</v>
      </c>
      <c r="H79" s="2">
        <f t="shared" si="6"/>
        <v>18068.7</v>
      </c>
      <c r="I79" s="2">
        <f t="shared" si="9"/>
        <v>30849</v>
      </c>
      <c r="J79" s="2">
        <f t="shared" si="14"/>
        <v>9641872.1200000048</v>
      </c>
      <c r="K79" s="2">
        <f t="shared" si="7"/>
        <v>4547913.2500000037</v>
      </c>
      <c r="L79" s="2">
        <f t="shared" si="3"/>
        <v>97982.300000000745</v>
      </c>
      <c r="M79" s="1">
        <f t="shared" si="13"/>
        <v>135000</v>
      </c>
      <c r="N79" s="10">
        <f t="shared" si="5"/>
        <v>48.349101982491604</v>
      </c>
      <c r="O79" t="s">
        <v>77</v>
      </c>
      <c r="P79" s="2" t="s">
        <v>124</v>
      </c>
      <c r="Q79" s="6">
        <f t="shared" si="10"/>
        <v>7</v>
      </c>
      <c r="R79" s="6" t="s">
        <v>125</v>
      </c>
    </row>
    <row r="80" spans="1:20">
      <c r="A80" t="s">
        <v>78</v>
      </c>
      <c r="B80">
        <v>118000</v>
      </c>
      <c r="C80">
        <v>114000</v>
      </c>
      <c r="E80" s="1">
        <f t="shared" si="15"/>
        <v>232000</v>
      </c>
      <c r="F80" s="3">
        <v>0.65</v>
      </c>
      <c r="G80" s="2">
        <f t="shared" si="16"/>
        <v>150800</v>
      </c>
      <c r="H80" s="2">
        <f t="shared" si="6"/>
        <v>18548.400000000001</v>
      </c>
      <c r="I80" s="2">
        <f t="shared" si="9"/>
        <v>31668</v>
      </c>
      <c r="J80" s="2">
        <f t="shared" si="14"/>
        <v>9742455.7200000044</v>
      </c>
      <c r="K80" s="2">
        <f t="shared" si="7"/>
        <v>4648496.8500000034</v>
      </c>
      <c r="L80" s="2">
        <f t="shared" si="3"/>
        <v>100583.59999999963</v>
      </c>
      <c r="M80" s="1">
        <f t="shared" si="13"/>
        <v>135000</v>
      </c>
      <c r="N80" s="10">
        <f t="shared" si="5"/>
        <v>49.094165686195304</v>
      </c>
      <c r="O80" t="s">
        <v>78</v>
      </c>
      <c r="P80" s="2" t="s">
        <v>124</v>
      </c>
      <c r="Q80" s="6">
        <f t="shared" si="10"/>
        <v>7</v>
      </c>
      <c r="R80" s="6" t="s">
        <v>125</v>
      </c>
    </row>
    <row r="81" spans="1:18">
      <c r="A81" t="s">
        <v>79</v>
      </c>
      <c r="B81">
        <v>118000</v>
      </c>
      <c r="C81">
        <v>114000</v>
      </c>
      <c r="E81" s="1">
        <f t="shared" si="15"/>
        <v>232000</v>
      </c>
      <c r="F81" s="3">
        <v>0.65</v>
      </c>
      <c r="G81" s="2">
        <f t="shared" si="16"/>
        <v>150800</v>
      </c>
      <c r="H81" s="2">
        <f t="shared" si="6"/>
        <v>18548.400000000001</v>
      </c>
      <c r="I81" s="2">
        <f t="shared" si="9"/>
        <v>31668</v>
      </c>
      <c r="J81" s="2">
        <f t="shared" si="14"/>
        <v>9843039.320000004</v>
      </c>
      <c r="K81" s="2">
        <f t="shared" si="7"/>
        <v>4749080.450000003</v>
      </c>
      <c r="L81" s="2">
        <f t="shared" si="3"/>
        <v>100583.59999999963</v>
      </c>
      <c r="M81" s="1">
        <f t="shared" si="13"/>
        <v>135000</v>
      </c>
      <c r="N81" s="10">
        <f t="shared" si="5"/>
        <v>49.839229389899003</v>
      </c>
      <c r="O81" t="s">
        <v>79</v>
      </c>
      <c r="P81" s="2" t="s">
        <v>124</v>
      </c>
      <c r="Q81" s="6">
        <f t="shared" si="10"/>
        <v>7</v>
      </c>
      <c r="R81" s="6" t="s">
        <v>125</v>
      </c>
    </row>
    <row r="82" spans="1:18">
      <c r="A82" t="s">
        <v>80</v>
      </c>
      <c r="B82">
        <v>117000</v>
      </c>
      <c r="C82">
        <v>113000</v>
      </c>
      <c r="E82" s="1">
        <f t="shared" si="15"/>
        <v>230000</v>
      </c>
      <c r="F82" s="3">
        <v>0.65</v>
      </c>
      <c r="G82" s="2">
        <f t="shared" si="16"/>
        <v>149500</v>
      </c>
      <c r="H82" s="2">
        <f t="shared" si="6"/>
        <v>18388.5</v>
      </c>
      <c r="I82" s="2">
        <f t="shared" si="9"/>
        <v>31395</v>
      </c>
      <c r="J82" s="2">
        <f t="shared" si="14"/>
        <v>9942755.820000004</v>
      </c>
      <c r="K82" s="2">
        <f t="shared" si="7"/>
        <v>4848796.950000003</v>
      </c>
      <c r="L82" s="2">
        <f t="shared" si="3"/>
        <v>99716.5</v>
      </c>
      <c r="M82" s="1">
        <f t="shared" si="13"/>
        <v>135000</v>
      </c>
      <c r="N82" s="10">
        <f t="shared" si="5"/>
        <v>50.577870130639745</v>
      </c>
      <c r="O82" t="s">
        <v>80</v>
      </c>
      <c r="P82" s="2" t="s">
        <v>124</v>
      </c>
      <c r="Q82" s="6">
        <f t="shared" si="10"/>
        <v>7</v>
      </c>
      <c r="R82" s="6" t="s">
        <v>125</v>
      </c>
    </row>
    <row r="83" spans="1:18">
      <c r="A83" t="s">
        <v>81</v>
      </c>
      <c r="B83">
        <v>115000</v>
      </c>
      <c r="C83">
        <v>112000</v>
      </c>
      <c r="E83" s="1">
        <f t="shared" si="15"/>
        <v>227000</v>
      </c>
      <c r="F83" s="3">
        <v>0.65</v>
      </c>
      <c r="G83" s="2">
        <f t="shared" si="16"/>
        <v>147550</v>
      </c>
      <c r="H83" s="2">
        <f t="shared" si="6"/>
        <v>18148.650000000001</v>
      </c>
      <c r="I83" s="2">
        <f t="shared" si="9"/>
        <v>30985.5</v>
      </c>
      <c r="J83" s="2">
        <f t="shared" si="14"/>
        <v>10041171.670000004</v>
      </c>
      <c r="K83" s="2">
        <f t="shared" si="7"/>
        <v>4947212.8000000026</v>
      </c>
      <c r="L83" s="2">
        <f t="shared" si="3"/>
        <v>98415.849999999627</v>
      </c>
      <c r="M83" s="1">
        <f t="shared" si="13"/>
        <v>135000</v>
      </c>
      <c r="N83" s="10">
        <f t="shared" si="5"/>
        <v>51.306876426936036</v>
      </c>
      <c r="O83" t="s">
        <v>81</v>
      </c>
      <c r="P83" s="2" t="s">
        <v>124</v>
      </c>
      <c r="Q83" s="6">
        <f t="shared" si="10"/>
        <v>7.5</v>
      </c>
      <c r="R83" s="6" t="s">
        <v>125</v>
      </c>
    </row>
    <row r="84" spans="1:18">
      <c r="A84" t="s">
        <v>82</v>
      </c>
      <c r="B84">
        <v>115000</v>
      </c>
      <c r="C84">
        <v>111000</v>
      </c>
      <c r="E84" s="1">
        <f t="shared" si="15"/>
        <v>226000</v>
      </c>
      <c r="F84" s="3">
        <v>0.65</v>
      </c>
      <c r="G84" s="2">
        <f t="shared" si="16"/>
        <v>146900</v>
      </c>
      <c r="H84" s="2">
        <f t="shared" si="6"/>
        <v>18068.7</v>
      </c>
      <c r="I84" s="2">
        <f t="shared" si="9"/>
        <v>30849</v>
      </c>
      <c r="J84" s="2">
        <f t="shared" si="14"/>
        <v>10139153.970000004</v>
      </c>
      <c r="K84" s="2">
        <f t="shared" si="7"/>
        <v>5045195.1000000034</v>
      </c>
      <c r="L84" s="2">
        <f t="shared" si="3"/>
        <v>97982.300000000745</v>
      </c>
      <c r="M84" s="1">
        <f t="shared" si="13"/>
        <v>135000</v>
      </c>
      <c r="N84" s="10">
        <f t="shared" si="5"/>
        <v>52.032671241750855</v>
      </c>
      <c r="O84" t="s">
        <v>82</v>
      </c>
      <c r="P84" s="2" t="s">
        <v>124</v>
      </c>
      <c r="Q84" s="6">
        <f t="shared" si="10"/>
        <v>7.5</v>
      </c>
      <c r="R84" s="6" t="s">
        <v>125</v>
      </c>
    </row>
    <row r="85" spans="1:18">
      <c r="A85" t="s">
        <v>83</v>
      </c>
      <c r="B85">
        <v>111000</v>
      </c>
      <c r="C85">
        <v>108000</v>
      </c>
      <c r="E85" s="1">
        <f t="shared" si="15"/>
        <v>219000</v>
      </c>
      <c r="F85" s="3">
        <v>0.65</v>
      </c>
      <c r="G85" s="2">
        <f t="shared" si="16"/>
        <v>142350</v>
      </c>
      <c r="H85" s="2">
        <f t="shared" si="6"/>
        <v>17509.05</v>
      </c>
      <c r="I85" s="2">
        <f t="shared" si="9"/>
        <v>29893.5</v>
      </c>
      <c r="J85" s="2">
        <f t="shared" si="14"/>
        <v>10234101.420000004</v>
      </c>
      <c r="K85" s="2">
        <f t="shared" si="7"/>
        <v>5140142.5500000026</v>
      </c>
      <c r="L85" s="2">
        <f t="shared" si="3"/>
        <v>94947.449999999255</v>
      </c>
      <c r="M85" s="1">
        <f t="shared" si="13"/>
        <v>135000</v>
      </c>
      <c r="N85" s="10">
        <f t="shared" si="5"/>
        <v>52.735985686195292</v>
      </c>
      <c r="O85" t="s">
        <v>83</v>
      </c>
      <c r="P85" s="2" t="s">
        <v>124</v>
      </c>
      <c r="Q85" s="6">
        <f t="shared" si="10"/>
        <v>7.5</v>
      </c>
      <c r="R85" s="6" t="s">
        <v>125</v>
      </c>
    </row>
    <row r="86" spans="1:18">
      <c r="A86" t="s">
        <v>84</v>
      </c>
      <c r="B86">
        <v>111000</v>
      </c>
      <c r="C86">
        <v>107000</v>
      </c>
      <c r="E86" s="1">
        <f t="shared" si="15"/>
        <v>218000</v>
      </c>
      <c r="F86" s="3">
        <v>0.6</v>
      </c>
      <c r="G86" s="2">
        <f t="shared" si="16"/>
        <v>130800</v>
      </c>
      <c r="H86" s="2">
        <f t="shared" si="6"/>
        <v>16088.4</v>
      </c>
      <c r="I86" s="2">
        <f t="shared" si="9"/>
        <v>27468</v>
      </c>
      <c r="J86" s="2">
        <f t="shared" si="14"/>
        <v>10321345.020000003</v>
      </c>
      <c r="K86" s="2">
        <f t="shared" si="7"/>
        <v>5227386.1500000022</v>
      </c>
      <c r="L86" s="2">
        <f t="shared" si="3"/>
        <v>87243.599999999627</v>
      </c>
      <c r="M86" s="1">
        <f t="shared" si="13"/>
        <v>135000</v>
      </c>
      <c r="N86" s="10">
        <f t="shared" si="5"/>
        <v>53.382234575084176</v>
      </c>
      <c r="O86" t="s">
        <v>84</v>
      </c>
      <c r="P86" s="2" t="s">
        <v>124</v>
      </c>
      <c r="Q86" s="6">
        <f t="shared" si="10"/>
        <v>7.5</v>
      </c>
      <c r="R86" s="6" t="s">
        <v>125</v>
      </c>
    </row>
    <row r="87" spans="1:18">
      <c r="A87" t="s">
        <v>85</v>
      </c>
      <c r="B87">
        <v>110000</v>
      </c>
      <c r="C87">
        <v>108000</v>
      </c>
      <c r="E87" s="1">
        <f t="shared" si="15"/>
        <v>218000</v>
      </c>
      <c r="F87" s="3">
        <v>0.6</v>
      </c>
      <c r="G87" s="2">
        <f t="shared" si="16"/>
        <v>130800</v>
      </c>
      <c r="H87" s="2">
        <f t="shared" si="6"/>
        <v>16088.4</v>
      </c>
      <c r="I87" s="2">
        <f t="shared" si="9"/>
        <v>27468</v>
      </c>
      <c r="J87" s="2">
        <f t="shared" si="14"/>
        <v>10408588.620000003</v>
      </c>
      <c r="K87" s="2">
        <f t="shared" si="7"/>
        <v>5314629.7500000019</v>
      </c>
      <c r="L87" s="2">
        <f t="shared" si="3"/>
        <v>87243.599999999627</v>
      </c>
      <c r="M87" s="1">
        <f t="shared" si="13"/>
        <v>135000</v>
      </c>
      <c r="N87" s="10">
        <f t="shared" si="5"/>
        <v>54.02848346397306</v>
      </c>
      <c r="O87" t="s">
        <v>85</v>
      </c>
      <c r="P87" s="2" t="s">
        <v>124</v>
      </c>
      <c r="Q87" s="6">
        <f t="shared" si="10"/>
        <v>7.5</v>
      </c>
      <c r="R87" s="6" t="s">
        <v>125</v>
      </c>
    </row>
    <row r="88" spans="1:18">
      <c r="A88" t="s">
        <v>86</v>
      </c>
      <c r="B88">
        <v>113000</v>
      </c>
      <c r="C88">
        <v>110000</v>
      </c>
      <c r="E88" s="1">
        <f t="shared" si="15"/>
        <v>223000</v>
      </c>
      <c r="F88" s="3">
        <v>0.6</v>
      </c>
      <c r="G88" s="2">
        <f t="shared" si="16"/>
        <v>133800</v>
      </c>
      <c r="H88" s="2">
        <f t="shared" si="6"/>
        <v>16457.400000000001</v>
      </c>
      <c r="I88" s="2">
        <f t="shared" si="9"/>
        <v>28098</v>
      </c>
      <c r="J88" s="2">
        <f t="shared" si="14"/>
        <v>10497833.220000003</v>
      </c>
      <c r="K88" s="2">
        <f t="shared" si="7"/>
        <v>5403874.3500000015</v>
      </c>
      <c r="L88" s="2">
        <f t="shared" si="3"/>
        <v>89244.599999999627</v>
      </c>
      <c r="M88" s="1">
        <f t="shared" si="13"/>
        <v>135000</v>
      </c>
      <c r="N88" s="10">
        <f t="shared" si="5"/>
        <v>54.689554575084166</v>
      </c>
      <c r="O88" t="s">
        <v>86</v>
      </c>
      <c r="P88" s="2" t="s">
        <v>124</v>
      </c>
      <c r="Q88" s="6">
        <f t="shared" si="10"/>
        <v>8</v>
      </c>
      <c r="R88" s="6" t="s">
        <v>125</v>
      </c>
    </row>
    <row r="89" spans="1:18">
      <c r="A89" t="s">
        <v>87</v>
      </c>
      <c r="B89">
        <v>114000</v>
      </c>
      <c r="C89">
        <v>110000</v>
      </c>
      <c r="E89" s="1">
        <f t="shared" si="15"/>
        <v>224000</v>
      </c>
      <c r="F89" s="3">
        <v>0.6</v>
      </c>
      <c r="G89" s="2">
        <f t="shared" si="16"/>
        <v>134400</v>
      </c>
      <c r="H89" s="2">
        <f t="shared" si="6"/>
        <v>16531.2</v>
      </c>
      <c r="I89" s="2">
        <f t="shared" si="9"/>
        <v>28224</v>
      </c>
      <c r="J89" s="2">
        <f t="shared" si="14"/>
        <v>10587478.020000003</v>
      </c>
      <c r="K89" s="2">
        <f t="shared" si="7"/>
        <v>5493519.1500000022</v>
      </c>
      <c r="L89" s="2">
        <f t="shared" si="3"/>
        <v>89644.800000000745</v>
      </c>
      <c r="M89" s="1">
        <f t="shared" si="13"/>
        <v>135000</v>
      </c>
      <c r="N89" s="10">
        <f t="shared" si="5"/>
        <v>55.353590130639731</v>
      </c>
      <c r="O89" t="s">
        <v>87</v>
      </c>
      <c r="P89" s="2" t="s">
        <v>124</v>
      </c>
      <c r="Q89" s="6">
        <f t="shared" si="10"/>
        <v>8</v>
      </c>
      <c r="R89" s="6" t="s">
        <v>125</v>
      </c>
    </row>
    <row r="90" spans="1:18">
      <c r="A90" t="s">
        <v>88</v>
      </c>
      <c r="B90">
        <v>116000</v>
      </c>
      <c r="C90">
        <v>112000</v>
      </c>
      <c r="E90" s="1">
        <f t="shared" si="15"/>
        <v>228000</v>
      </c>
      <c r="F90" s="3">
        <v>0.6</v>
      </c>
      <c r="G90" s="2">
        <f t="shared" si="16"/>
        <v>136800</v>
      </c>
      <c r="H90" s="2">
        <f t="shared" si="6"/>
        <v>16826.400000000001</v>
      </c>
      <c r="I90" s="2">
        <f t="shared" si="9"/>
        <v>28728</v>
      </c>
      <c r="J90" s="2">
        <f t="shared" si="14"/>
        <v>10678723.620000003</v>
      </c>
      <c r="K90" s="2">
        <f t="shared" si="7"/>
        <v>5584764.7500000019</v>
      </c>
      <c r="L90" s="2">
        <f t="shared" si="3"/>
        <v>91245.599999999627</v>
      </c>
      <c r="M90" s="1">
        <f t="shared" si="13"/>
        <v>135000</v>
      </c>
      <c r="N90" s="10">
        <f t="shared" si="5"/>
        <v>56.029483463973058</v>
      </c>
      <c r="O90" t="s">
        <v>88</v>
      </c>
      <c r="P90" s="2" t="s">
        <v>124</v>
      </c>
      <c r="Q90" s="6">
        <f t="shared" si="10"/>
        <v>8</v>
      </c>
      <c r="R90" s="6" t="s">
        <v>125</v>
      </c>
    </row>
    <row r="91" spans="1:18">
      <c r="A91" t="s">
        <v>89</v>
      </c>
      <c r="B91">
        <v>111000</v>
      </c>
      <c r="C91">
        <v>107000</v>
      </c>
      <c r="E91" s="1">
        <f t="shared" si="15"/>
        <v>218000</v>
      </c>
      <c r="F91" s="3">
        <v>0.6</v>
      </c>
      <c r="G91" s="2">
        <f t="shared" si="16"/>
        <v>130800</v>
      </c>
      <c r="H91" s="2">
        <f t="shared" si="6"/>
        <v>16088.4</v>
      </c>
      <c r="I91" s="2">
        <f t="shared" si="9"/>
        <v>27468</v>
      </c>
      <c r="J91" s="2">
        <f t="shared" si="14"/>
        <v>10765967.220000003</v>
      </c>
      <c r="K91" s="2">
        <f t="shared" si="7"/>
        <v>5672008.3500000015</v>
      </c>
      <c r="L91" s="2">
        <f t="shared" si="3"/>
        <v>87243.599999999627</v>
      </c>
      <c r="M91" s="1">
        <f t="shared" si="13"/>
        <v>135000</v>
      </c>
      <c r="N91" s="10">
        <f t="shared" si="5"/>
        <v>56.675732352861942</v>
      </c>
      <c r="O91" t="s">
        <v>89</v>
      </c>
      <c r="P91" s="2" t="s">
        <v>124</v>
      </c>
      <c r="Q91" s="6">
        <f t="shared" si="10"/>
        <v>8</v>
      </c>
      <c r="R91" s="6" t="s">
        <v>125</v>
      </c>
    </row>
    <row r="92" spans="1:18">
      <c r="A92" t="s">
        <v>90</v>
      </c>
      <c r="B92">
        <v>108000</v>
      </c>
      <c r="C92">
        <v>103000</v>
      </c>
      <c r="E92" s="1">
        <f t="shared" si="15"/>
        <v>211000</v>
      </c>
      <c r="F92" s="3">
        <v>0.6</v>
      </c>
      <c r="G92" s="2">
        <f t="shared" si="16"/>
        <v>126600</v>
      </c>
      <c r="H92" s="2">
        <f t="shared" si="6"/>
        <v>15571.8</v>
      </c>
      <c r="I92" s="2">
        <f t="shared" si="9"/>
        <v>26586</v>
      </c>
      <c r="J92" s="2">
        <f t="shared" si="14"/>
        <v>10850409.420000002</v>
      </c>
      <c r="K92" s="2">
        <f t="shared" si="7"/>
        <v>5756450.5500000007</v>
      </c>
      <c r="L92" s="2">
        <f t="shared" si="3"/>
        <v>84442.199999999255</v>
      </c>
      <c r="M92" s="1">
        <f t="shared" si="13"/>
        <v>135000</v>
      </c>
      <c r="N92" s="10">
        <f t="shared" si="5"/>
        <v>57.301230130639716</v>
      </c>
      <c r="O92" t="s">
        <v>90</v>
      </c>
      <c r="P92" s="2" t="s">
        <v>124</v>
      </c>
      <c r="Q92" s="6">
        <f t="shared" si="10"/>
        <v>8</v>
      </c>
      <c r="R92" s="6" t="s">
        <v>125</v>
      </c>
    </row>
    <row r="93" spans="1:18">
      <c r="A93" t="s">
        <v>91</v>
      </c>
      <c r="B93">
        <v>106000</v>
      </c>
      <c r="C93">
        <v>101000</v>
      </c>
      <c r="E93" s="1">
        <f t="shared" si="15"/>
        <v>207000</v>
      </c>
      <c r="F93" s="3">
        <v>0</v>
      </c>
      <c r="G93" s="2">
        <f t="shared" si="16"/>
        <v>0</v>
      </c>
      <c r="H93" s="2"/>
      <c r="I93" s="2"/>
      <c r="J93" s="2"/>
      <c r="K93" s="2"/>
      <c r="L93" s="2"/>
      <c r="P93" s="2"/>
    </row>
    <row r="94" spans="1:18">
      <c r="A94" t="s">
        <v>92</v>
      </c>
      <c r="B94">
        <v>102000</v>
      </c>
      <c r="C94">
        <v>98000</v>
      </c>
      <c r="E94" s="1">
        <f t="shared" si="15"/>
        <v>200000</v>
      </c>
      <c r="F94" s="3">
        <v>0</v>
      </c>
      <c r="G94" s="2">
        <f t="shared" si="16"/>
        <v>0</v>
      </c>
      <c r="H94" s="2">
        <f>SUM(H44:H92)</f>
        <v>971510.58000000019</v>
      </c>
      <c r="I94" s="2">
        <f>SUM(I50:I92)</f>
        <v>1412579.7</v>
      </c>
      <c r="J94" s="2"/>
      <c r="K94" s="2"/>
      <c r="L94" s="2"/>
      <c r="P94" s="2"/>
    </row>
    <row r="95" spans="1:18">
      <c r="A95" t="s">
        <v>93</v>
      </c>
      <c r="B95">
        <v>99000</v>
      </c>
      <c r="C95">
        <v>94000</v>
      </c>
      <c r="E95" s="1">
        <f t="shared" si="15"/>
        <v>193000</v>
      </c>
      <c r="F95" s="3">
        <v>0</v>
      </c>
      <c r="G95" s="2">
        <f t="shared" si="16"/>
        <v>0</v>
      </c>
      <c r="H95" s="2"/>
      <c r="I95" s="2"/>
      <c r="J95" s="2"/>
      <c r="K95" s="2"/>
      <c r="L95" s="2"/>
      <c r="P95" s="2"/>
    </row>
    <row r="96" spans="1:18">
      <c r="A96" t="s">
        <v>94</v>
      </c>
      <c r="B96">
        <v>98000</v>
      </c>
      <c r="C96">
        <v>93000</v>
      </c>
      <c r="E96" s="1">
        <f t="shared" si="15"/>
        <v>191000</v>
      </c>
      <c r="F96" s="3">
        <v>0</v>
      </c>
      <c r="G96" s="2">
        <f t="shared" si="16"/>
        <v>0</v>
      </c>
      <c r="H96" s="2"/>
      <c r="I96" s="2"/>
      <c r="J96" s="2"/>
      <c r="K96" s="2"/>
      <c r="L96" s="2"/>
      <c r="P96" s="2"/>
    </row>
    <row r="97" spans="1:16">
      <c r="A97" t="s">
        <v>95</v>
      </c>
      <c r="B97">
        <v>96000</v>
      </c>
      <c r="C97">
        <v>92000</v>
      </c>
      <c r="E97" s="1">
        <f t="shared" si="15"/>
        <v>188000</v>
      </c>
      <c r="F97" s="3">
        <v>0</v>
      </c>
      <c r="G97" s="2">
        <f t="shared" si="16"/>
        <v>0</v>
      </c>
      <c r="H97" s="2"/>
      <c r="I97" s="2"/>
      <c r="J97" s="2"/>
      <c r="K97" s="2"/>
      <c r="L97" s="2"/>
      <c r="P97" s="2"/>
    </row>
    <row r="98" spans="1:16">
      <c r="A98" t="s">
        <v>96</v>
      </c>
      <c r="B98">
        <v>98000</v>
      </c>
      <c r="C98">
        <v>93000</v>
      </c>
      <c r="E98" s="1">
        <f t="shared" si="15"/>
        <v>191000</v>
      </c>
      <c r="F98" s="3">
        <v>0</v>
      </c>
      <c r="G98" s="2">
        <f t="shared" si="16"/>
        <v>0</v>
      </c>
      <c r="H98" s="2"/>
      <c r="I98" s="2"/>
      <c r="J98" s="2"/>
      <c r="K98" s="2"/>
      <c r="L98" s="2"/>
      <c r="P98" s="2"/>
    </row>
    <row r="99" spans="1:16">
      <c r="A99" t="s">
        <v>97</v>
      </c>
      <c r="B99">
        <v>98000</v>
      </c>
      <c r="C99">
        <v>93000</v>
      </c>
      <c r="E99" s="1">
        <f t="shared" si="15"/>
        <v>191000</v>
      </c>
      <c r="F99" s="3">
        <v>0</v>
      </c>
      <c r="G99" s="2">
        <f t="shared" si="16"/>
        <v>0</v>
      </c>
      <c r="H99" s="2"/>
      <c r="I99" s="2"/>
      <c r="J99" s="2"/>
      <c r="K99" s="2"/>
      <c r="L99" s="2"/>
      <c r="P99" s="2"/>
    </row>
    <row r="100" spans="1:16">
      <c r="A100" t="s">
        <v>98</v>
      </c>
      <c r="B100">
        <v>97000</v>
      </c>
      <c r="C100">
        <v>93000</v>
      </c>
      <c r="E100" s="1">
        <f t="shared" si="15"/>
        <v>190000</v>
      </c>
      <c r="F100" s="3">
        <v>0</v>
      </c>
      <c r="G100" s="2">
        <f t="shared" si="16"/>
        <v>0</v>
      </c>
      <c r="H100" s="2"/>
      <c r="I100" s="2"/>
      <c r="J100" s="2"/>
      <c r="K100" s="2"/>
      <c r="L100" s="2"/>
      <c r="P100" s="2"/>
    </row>
    <row r="101" spans="1:16">
      <c r="A101" t="s">
        <v>99</v>
      </c>
      <c r="B101">
        <v>95000</v>
      </c>
      <c r="C101">
        <v>90000</v>
      </c>
      <c r="E101" s="1">
        <f t="shared" si="15"/>
        <v>185000</v>
      </c>
      <c r="F101" s="3">
        <v>0</v>
      </c>
      <c r="G101" s="2">
        <f t="shared" si="16"/>
        <v>0</v>
      </c>
      <c r="H101" s="2"/>
      <c r="I101" s="2"/>
      <c r="J101" s="2"/>
      <c r="K101" s="2"/>
      <c r="L101" s="2"/>
      <c r="P101" s="2"/>
    </row>
    <row r="102" spans="1:16">
      <c r="A102" t="s">
        <v>100</v>
      </c>
      <c r="B102">
        <v>93000</v>
      </c>
      <c r="C102">
        <v>89000</v>
      </c>
      <c r="E102" s="1">
        <f t="shared" si="15"/>
        <v>182000</v>
      </c>
      <c r="F102" s="3">
        <v>0</v>
      </c>
      <c r="G102" s="2">
        <f t="shared" si="16"/>
        <v>0</v>
      </c>
      <c r="H102" s="2"/>
      <c r="I102" s="2"/>
      <c r="J102" s="2"/>
      <c r="K102" s="2"/>
      <c r="L102" s="2"/>
      <c r="P102" s="2"/>
    </row>
    <row r="103" spans="1:16">
      <c r="A103" t="s">
        <v>101</v>
      </c>
      <c r="B103">
        <v>91000</v>
      </c>
      <c r="C103">
        <v>86000</v>
      </c>
      <c r="E103" s="1">
        <f t="shared" si="15"/>
        <v>177000</v>
      </c>
      <c r="F103" s="3">
        <v>0</v>
      </c>
      <c r="G103" s="2">
        <f t="shared" si="16"/>
        <v>0</v>
      </c>
      <c r="H103" s="2"/>
      <c r="I103" s="2"/>
      <c r="J103" s="2"/>
      <c r="K103" s="2"/>
      <c r="L103" s="2"/>
      <c r="P103" s="2"/>
    </row>
    <row r="104" spans="1:16">
      <c r="A104" t="s">
        <v>102</v>
      </c>
      <c r="B104">
        <v>92000</v>
      </c>
      <c r="C104">
        <v>88000</v>
      </c>
      <c r="E104" s="1">
        <f t="shared" si="15"/>
        <v>180000</v>
      </c>
      <c r="F104" s="3">
        <v>0</v>
      </c>
      <c r="G104" s="2">
        <f t="shared" si="16"/>
        <v>0</v>
      </c>
      <c r="H104" s="2"/>
      <c r="I104" s="2"/>
      <c r="J104" s="2"/>
      <c r="K104" s="2"/>
      <c r="L104" s="2"/>
      <c r="P104" s="2"/>
    </row>
    <row r="105" spans="1:16">
      <c r="A105" t="s">
        <v>103</v>
      </c>
      <c r="B105">
        <v>90000</v>
      </c>
      <c r="C105">
        <v>85000</v>
      </c>
      <c r="E105" s="1">
        <f t="shared" si="15"/>
        <v>175000</v>
      </c>
      <c r="F105" s="3">
        <v>0</v>
      </c>
      <c r="G105" s="2">
        <f t="shared" si="16"/>
        <v>0</v>
      </c>
      <c r="H105" s="2"/>
      <c r="I105" s="2"/>
      <c r="J105" s="2"/>
      <c r="K105" s="2"/>
      <c r="L105" s="2"/>
      <c r="P105" s="2"/>
    </row>
    <row r="106" spans="1:16">
      <c r="A106" t="s">
        <v>104</v>
      </c>
      <c r="B106">
        <v>90000</v>
      </c>
      <c r="C106">
        <v>86000</v>
      </c>
      <c r="E106" s="1">
        <f t="shared" si="15"/>
        <v>176000</v>
      </c>
      <c r="F106" s="3">
        <v>0</v>
      </c>
      <c r="G106" s="2">
        <f t="shared" si="16"/>
        <v>0</v>
      </c>
      <c r="H106" s="2"/>
      <c r="I106" s="2"/>
      <c r="J106" s="2"/>
      <c r="K106" s="2"/>
      <c r="L106" s="2"/>
      <c r="P106" s="2"/>
    </row>
    <row r="107" spans="1:16">
      <c r="A107" t="s">
        <v>105</v>
      </c>
      <c r="B107">
        <v>89000</v>
      </c>
      <c r="C107">
        <v>84000</v>
      </c>
      <c r="E107" s="1">
        <f t="shared" si="15"/>
        <v>173000</v>
      </c>
      <c r="F107" s="3">
        <v>0</v>
      </c>
      <c r="G107" s="2">
        <f t="shared" si="16"/>
        <v>0</v>
      </c>
      <c r="H107" s="2"/>
      <c r="I107" s="2"/>
      <c r="J107" s="2"/>
      <c r="K107" s="2"/>
      <c r="L107" s="2"/>
      <c r="P107" s="2"/>
    </row>
    <row r="108" spans="1:16">
      <c r="A108" t="s">
        <v>106</v>
      </c>
      <c r="B108">
        <v>87000</v>
      </c>
      <c r="C108">
        <v>83000</v>
      </c>
      <c r="E108" s="1">
        <f t="shared" si="15"/>
        <v>170000</v>
      </c>
      <c r="F108" s="3">
        <v>0</v>
      </c>
      <c r="G108" s="2">
        <f t="shared" si="16"/>
        <v>0</v>
      </c>
      <c r="H108" s="2"/>
      <c r="I108" s="2"/>
      <c r="J108" s="2"/>
      <c r="K108" s="2"/>
      <c r="L108" s="2"/>
      <c r="P108" s="2"/>
    </row>
    <row r="109" spans="1:16">
      <c r="A109" t="s">
        <v>107</v>
      </c>
      <c r="B109">
        <v>87000</v>
      </c>
      <c r="C109">
        <v>83000</v>
      </c>
      <c r="E109" s="1">
        <f t="shared" si="15"/>
        <v>170000</v>
      </c>
      <c r="F109" s="3">
        <v>0</v>
      </c>
      <c r="G109" s="2">
        <f t="shared" si="16"/>
        <v>0</v>
      </c>
      <c r="H109" s="2"/>
      <c r="I109" s="2"/>
      <c r="J109" s="2"/>
      <c r="K109" s="2"/>
      <c r="L109" s="2"/>
      <c r="P109" s="2"/>
    </row>
    <row r="110" spans="1:16">
      <c r="A110" t="s">
        <v>108</v>
      </c>
      <c r="B110">
        <v>86000</v>
      </c>
      <c r="C110">
        <v>82000</v>
      </c>
      <c r="E110" s="1">
        <f t="shared" si="15"/>
        <v>168000</v>
      </c>
      <c r="F110" s="3">
        <v>0</v>
      </c>
      <c r="G110" s="2">
        <f t="shared" si="16"/>
        <v>0</v>
      </c>
      <c r="H110" s="2"/>
      <c r="I110" s="2"/>
      <c r="J110" s="2"/>
      <c r="K110" s="2"/>
      <c r="L110" s="2"/>
      <c r="P110" s="2"/>
    </row>
    <row r="113" spans="1:15">
      <c r="A113" t="s">
        <v>112</v>
      </c>
      <c r="O113" t="s">
        <v>112</v>
      </c>
    </row>
    <row r="114" spans="1:15">
      <c r="A114" t="s">
        <v>113</v>
      </c>
      <c r="D114" t="s">
        <v>114</v>
      </c>
      <c r="O114" t="s">
        <v>113</v>
      </c>
    </row>
    <row r="115" spans="1:15">
      <c r="A115" t="s">
        <v>115</v>
      </c>
      <c r="O115" t="s">
        <v>115</v>
      </c>
    </row>
    <row r="116" spans="1:15">
      <c r="A116" t="s">
        <v>116</v>
      </c>
      <c r="D116" s="5" t="s">
        <v>117</v>
      </c>
      <c r="O116" t="s">
        <v>116</v>
      </c>
    </row>
    <row r="117" spans="1:15">
      <c r="A117" t="s">
        <v>119</v>
      </c>
      <c r="D117" s="5" t="s">
        <v>118</v>
      </c>
      <c r="O117" t="s">
        <v>119</v>
      </c>
    </row>
  </sheetData>
  <hyperlinks>
    <hyperlink ref="D116" r:id="rId1"/>
    <hyperlink ref="D117" r:id="rId2"/>
  </hyperlinks>
  <pageMargins left="0.7" right="0.7" top="0.75" bottom="0.75" header="0.3" footer="0.3"/>
  <pageSetup paperSize="9" orientation="portrait" horizontalDpi="4294967293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selection activeCell="J18" sqref="J18"/>
    </sheetView>
  </sheetViews>
  <sheetFormatPr defaultRowHeight="14.5"/>
  <sheetData>
    <row r="1" spans="1:2">
      <c r="A1" t="s">
        <v>131</v>
      </c>
    </row>
    <row r="2" spans="1:2">
      <c r="B2">
        <v>273000</v>
      </c>
    </row>
    <row r="3" spans="1:2">
      <c r="B3">
        <v>258000</v>
      </c>
    </row>
    <row r="4" spans="1:2">
      <c r="B4">
        <v>204000</v>
      </c>
    </row>
    <row r="6" spans="1:2">
      <c r="B6">
        <v>77000</v>
      </c>
    </row>
    <row r="7" spans="1:2">
      <c r="B7">
        <v>60000</v>
      </c>
    </row>
    <row r="8" spans="1:2">
      <c r="B8">
        <v>38000</v>
      </c>
    </row>
    <row r="9" spans="1:2">
      <c r="B9">
        <v>40000</v>
      </c>
    </row>
    <row r="10" spans="1:2">
      <c r="B10">
        <v>25000</v>
      </c>
    </row>
    <row r="14" spans="1:2">
      <c r="B14">
        <f>SUM(B2:B11)</f>
        <v>975000</v>
      </c>
    </row>
    <row r="17" spans="8:10">
      <c r="H17">
        <v>3600000</v>
      </c>
    </row>
    <row r="18" spans="8:10">
      <c r="H18">
        <f>25 * 75000</f>
        <v>1875000</v>
      </c>
      <c r="J18">
        <f>75/110</f>
        <v>0.68181818181818177</v>
      </c>
    </row>
    <row r="20" spans="8:10">
      <c r="H20">
        <f>SUM(H17:H19)</f>
        <v>5475000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Leeftijdsopbouw Nederland 2021 </vt:lpstr>
      <vt:lpstr>kladblok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Windows-gebruiker</cp:lastModifiedBy>
  <dcterms:created xsi:type="dcterms:W3CDTF">2021-04-09T20:03:53Z</dcterms:created>
  <dcterms:modified xsi:type="dcterms:W3CDTF">2021-05-04T21:48:45Z</dcterms:modified>
</cp:coreProperties>
</file>